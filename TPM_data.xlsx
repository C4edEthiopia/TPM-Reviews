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zeef.sharepoint.com/sites/P25117/Freigegebene Dokumente/Working Files/06_Workshops_Presentations/Annual TPM Performance Review 2026/"/>
    </mc:Choice>
  </mc:AlternateContent>
  <xr:revisionPtr revIDLastSave="28" documentId="14_{668C71A4-3DC1-4FE5-B23D-14C256F0E9AC}" xr6:coauthVersionLast="47" xr6:coauthVersionMax="47" xr10:uidLastSave="{37F3B984-5727-4134-AD4E-5303344BB5D9}"/>
  <bookViews>
    <workbookView xWindow="-83" yWindow="0" windowWidth="19366" windowHeight="20963" firstSheet="5" activeTab="11" xr2:uid="{3916B5A7-B48A-4807-822B-1E2B02DB7B94}"/>
  </bookViews>
  <sheets>
    <sheet name="monitoring_plans" sheetId="12" r:id="rId1"/>
    <sheet name="weekly_reports" sheetId="3" r:id="rId2"/>
    <sheet name="monthly_reports" sheetId="4" r:id="rId3"/>
    <sheet name="quarter_reports" sheetId="5" r:id="rId4"/>
    <sheet name="coverage" sheetId="13" r:id="rId5"/>
    <sheet name="PDM" sheetId="14" r:id="rId6"/>
    <sheet name="deployment" sheetId="1" r:id="rId7"/>
    <sheet name="training" sheetId="6" r:id="rId8"/>
    <sheet name="travel" sheetId="2" r:id="rId9"/>
    <sheet name="equipment" sheetId="7" r:id="rId10"/>
    <sheet name="budget" sheetId="8" r:id="rId11"/>
    <sheet name="finance" sheetId="9" r:id="rId1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9" l="1"/>
  <c r="B3" i="9"/>
  <c r="E3" i="9" s="1"/>
  <c r="C2" i="5"/>
  <c r="G3" i="8"/>
  <c r="D3" i="8"/>
  <c r="S3" i="8"/>
  <c r="E3" i="8"/>
  <c r="F3" i="8"/>
  <c r="D4" i="8"/>
  <c r="S4" i="8"/>
  <c r="E4" i="8"/>
  <c r="F4" i="8"/>
  <c r="D5" i="8"/>
  <c r="S5" i="8"/>
  <c r="E5" i="8"/>
  <c r="F5" i="8"/>
  <c r="D6" i="8"/>
  <c r="S6" i="8"/>
  <c r="E6" i="8"/>
  <c r="F6" i="8"/>
  <c r="D7" i="8"/>
  <c r="S7" i="8"/>
  <c r="E7" i="8"/>
  <c r="F7" i="8"/>
  <c r="D8" i="8"/>
  <c r="S8" i="8"/>
  <c r="E8" i="8"/>
  <c r="F8" i="8"/>
  <c r="D9" i="8"/>
  <c r="S9" i="8"/>
  <c r="E9" i="8"/>
  <c r="F9" i="8"/>
  <c r="D10" i="8"/>
  <c r="S10" i="8"/>
  <c r="E10" i="8"/>
  <c r="F10" i="8"/>
  <c r="D11" i="8"/>
  <c r="S11" i="8"/>
  <c r="E11" i="8"/>
  <c r="F11" i="8"/>
  <c r="D12" i="8"/>
  <c r="S12" i="8"/>
  <c r="E12" i="8"/>
  <c r="F12" i="8"/>
  <c r="D13" i="8"/>
  <c r="S13" i="8"/>
  <c r="E13" i="8"/>
  <c r="F13" i="8"/>
  <c r="D14" i="8"/>
  <c r="S14" i="8"/>
  <c r="E14" i="8"/>
  <c r="F14" i="8"/>
  <c r="D2" i="8"/>
  <c r="S2" i="8"/>
  <c r="E2" i="8"/>
  <c r="F2" i="8"/>
  <c r="C10" i="1"/>
  <c r="C9" i="1"/>
  <c r="C8" i="1"/>
  <c r="C7" i="1"/>
  <c r="C6" i="1"/>
  <c r="C5" i="1"/>
  <c r="C4" i="1"/>
  <c r="C3" i="1"/>
  <c r="C11" i="1"/>
  <c r="C12" i="1"/>
  <c r="E2" i="1"/>
  <c r="E14" i="9"/>
  <c r="D14" i="9"/>
  <c r="G14" i="9"/>
  <c r="B14" i="9"/>
  <c r="G13" i="9"/>
  <c r="B13" i="9"/>
  <c r="E13" i="9"/>
  <c r="G12" i="9"/>
  <c r="B12" i="9"/>
  <c r="E12" i="9"/>
  <c r="G11" i="9"/>
  <c r="F11" i="9"/>
  <c r="D11" i="9"/>
  <c r="B11" i="9"/>
  <c r="E11" i="9"/>
  <c r="F10" i="9"/>
  <c r="D10" i="9"/>
  <c r="G10" i="9"/>
  <c r="B10" i="9"/>
  <c r="E10" i="9"/>
  <c r="G9" i="9"/>
  <c r="F9" i="9"/>
  <c r="D9" i="9"/>
  <c r="B9" i="9"/>
  <c r="E9" i="9"/>
  <c r="F8" i="9"/>
  <c r="D8" i="9"/>
  <c r="G8" i="9"/>
  <c r="B8" i="9"/>
  <c r="F7" i="9"/>
  <c r="D7" i="9"/>
  <c r="G7" i="9"/>
  <c r="B7" i="9"/>
  <c r="G6" i="9"/>
  <c r="F6" i="9"/>
  <c r="D6" i="9"/>
  <c r="B6" i="9"/>
  <c r="E6" i="9"/>
  <c r="F5" i="9"/>
  <c r="D5" i="9"/>
  <c r="G5" i="9"/>
  <c r="B5" i="9"/>
  <c r="E5" i="9"/>
  <c r="F4" i="9"/>
  <c r="D4" i="9"/>
  <c r="G4" i="9"/>
  <c r="B4" i="9"/>
  <c r="E4" i="9"/>
  <c r="G3" i="9"/>
  <c r="F3" i="9"/>
  <c r="D3" i="9"/>
  <c r="F2" i="9"/>
  <c r="D2" i="9"/>
  <c r="G2" i="9"/>
  <c r="E2" i="9"/>
  <c r="E8" i="9"/>
  <c r="E7" i="9"/>
</calcChain>
</file>

<file path=xl/sharedStrings.xml><?xml version="1.0" encoding="utf-8"?>
<sst xmlns="http://schemas.openxmlformats.org/spreadsheetml/2006/main" count="183" uniqueCount="100">
  <si>
    <t>Month</t>
  </si>
  <si>
    <t>FMA</t>
  </si>
  <si>
    <t>RMC</t>
  </si>
  <si>
    <t>AMC</t>
  </si>
  <si>
    <t>Place</t>
  </si>
  <si>
    <t>Monday</t>
  </si>
  <si>
    <t xml:space="preserve">Tuesday </t>
  </si>
  <si>
    <t>Wednesday</t>
  </si>
  <si>
    <t>11-15 days</t>
  </si>
  <si>
    <t>Quarter</t>
  </si>
  <si>
    <t>less than 1 month</t>
  </si>
  <si>
    <t>more than 1 month</t>
  </si>
  <si>
    <t>Type</t>
  </si>
  <si>
    <t>Tablets</t>
  </si>
  <si>
    <t>Vests</t>
  </si>
  <si>
    <t>Ebikes</t>
  </si>
  <si>
    <t>Item</t>
  </si>
  <si>
    <t>Budget</t>
  </si>
  <si>
    <t>Expense</t>
  </si>
  <si>
    <t>Remainder</t>
  </si>
  <si>
    <t>FMA salaries</t>
  </si>
  <si>
    <t>RMC salaries</t>
  </si>
  <si>
    <t>Transportation FMA</t>
  </si>
  <si>
    <t>Transportation RMC</t>
  </si>
  <si>
    <t>E-bike buying</t>
  </si>
  <si>
    <t>Training</t>
  </si>
  <si>
    <t>DSA for RMC</t>
  </si>
  <si>
    <t>Airtime</t>
  </si>
  <si>
    <t>Office supplies</t>
  </si>
  <si>
    <t>Laptops</t>
  </si>
  <si>
    <t>Travel</t>
  </si>
  <si>
    <t>Forecast</t>
  </si>
  <si>
    <t>Forecast + VAT</t>
  </si>
  <si>
    <t>Expense + VAT</t>
  </si>
  <si>
    <t>Printers</t>
  </si>
  <si>
    <t>Travel no.</t>
  </si>
  <si>
    <t>Staff</t>
  </si>
  <si>
    <t>Mekelle</t>
  </si>
  <si>
    <t>Bahir Dar</t>
  </si>
  <si>
    <t>Dessie</t>
  </si>
  <si>
    <t>Adama</t>
  </si>
  <si>
    <t>Asossa</t>
  </si>
  <si>
    <t>Robert</t>
  </si>
  <si>
    <t>Abebaw</t>
  </si>
  <si>
    <t>Marshal</t>
  </si>
  <si>
    <t>Nolawit</t>
  </si>
  <si>
    <t>Marshall</t>
  </si>
  <si>
    <t xml:space="preserve">Abebaw </t>
  </si>
  <si>
    <t>Yebelay</t>
  </si>
  <si>
    <t>Days</t>
  </si>
  <si>
    <t>Activities</t>
  </si>
  <si>
    <t>1-10 days</t>
  </si>
  <si>
    <t>Basic</t>
  </si>
  <si>
    <t>Refresher</t>
  </si>
  <si>
    <t>CP cooperation</t>
  </si>
  <si>
    <t>FMA headcount</t>
  </si>
  <si>
    <t>HQ salaries</t>
  </si>
  <si>
    <t>Event no.</t>
  </si>
  <si>
    <t>16-20 days</t>
  </si>
  <si>
    <t>21-25 days</t>
  </si>
  <si>
    <t>26-31 days</t>
  </si>
  <si>
    <t>Expense Aug</t>
  </si>
  <si>
    <t>Expense Sep</t>
  </si>
  <si>
    <t>Expense Oct</t>
  </si>
  <si>
    <t>Expense Nov</t>
  </si>
  <si>
    <t>Expense Dec</t>
  </si>
  <si>
    <t>Expense Jan</t>
  </si>
  <si>
    <t>Expense Feb</t>
  </si>
  <si>
    <t>Expense Mar</t>
  </si>
  <si>
    <t>Expense Apr</t>
  </si>
  <si>
    <t>Expense May</t>
  </si>
  <si>
    <t>Forecast June</t>
  </si>
  <si>
    <t>Forecast July</t>
  </si>
  <si>
    <t>Forecast Aug</t>
  </si>
  <si>
    <t>Category</t>
  </si>
  <si>
    <t>BDR</t>
  </si>
  <si>
    <t>Assosa</t>
  </si>
  <si>
    <t>PDM -SF &amp; GFD</t>
  </si>
  <si>
    <t>GFD</t>
  </si>
  <si>
    <t>SF</t>
  </si>
  <si>
    <t>NN</t>
  </si>
  <si>
    <t>TSFP</t>
  </si>
  <si>
    <t>SFP</t>
  </si>
  <si>
    <t>R4</t>
  </si>
  <si>
    <t xml:space="preserve">GFD </t>
  </si>
  <si>
    <t xml:space="preserve">Resilience </t>
  </si>
  <si>
    <t>FFV</t>
  </si>
  <si>
    <t xml:space="preserve">PDM </t>
  </si>
  <si>
    <t>EWS</t>
  </si>
  <si>
    <t>SEBPE</t>
  </si>
  <si>
    <t>Market</t>
  </si>
  <si>
    <t>TSFP PDM</t>
  </si>
  <si>
    <t>School PDM</t>
  </si>
  <si>
    <t>R4 PDM</t>
  </si>
  <si>
    <t>PDM TSF and school</t>
  </si>
  <si>
    <t>PDM Refugee</t>
  </si>
  <si>
    <t>PDM R4</t>
  </si>
  <si>
    <t>Corean rice (FGD)</t>
  </si>
  <si>
    <t xml:space="preserve">PDM TSFP and FFV </t>
  </si>
  <si>
    <t>SEBPE = School end balance physical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</si>
</sst>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wrapText="1"/>
    </xf>
    <xf numFmtId="4" fontId="3" fillId="0" borderId="0" xfId="0" applyNumberFormat="1" applyFont="1" applyProtection="1">
      <protection locked="0"/>
    </xf>
    <xf numFmtId="4" fontId="3" fillId="0" borderId="0" xfId="0" applyNumberFormat="1" applyFont="1" applyAlignment="1" applyProtection="1">
      <alignment wrapText="1"/>
      <protection locked="0"/>
    </xf>
    <xf numFmtId="0" fontId="1" fillId="0" borderId="0" xfId="0" applyFont="1"/>
    <xf numFmtId="0" fontId="1" fillId="0" borderId="0" xfId="0" applyFont="1" applyAlignment="1">
      <alignment horizontal="left"/>
    </xf>
    <xf numFmtId="164" fontId="3" fillId="0" borderId="0" xfId="0" applyNumberFormat="1" applyFont="1" applyAlignment="1" applyProtection="1">
      <alignment horizontal="left"/>
      <protection locked="0"/>
    </xf>
    <xf numFmtId="164" fontId="0" fillId="0" borderId="0" xfId="0" applyNumberFormat="1"/>
    <xf numFmtId="0" fontId="0" fillId="0" borderId="0" xfId="0" applyAlignment="1">
      <alignment horizontal="right"/>
    </xf>
    <xf numFmtId="164" fontId="4" fillId="0" borderId="0" xfId="0" applyNumberFormat="1" applyFont="1" applyAlignment="1" applyProtection="1">
      <alignment horizontal="left"/>
      <protection locked="0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1" xfId="0" applyFont="1" applyFill="1" applyBorder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 applyProtection="1">
      <alignment horizontal="right"/>
      <protection locked="0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1E1D-002A-4AFB-AC0C-9BD258560A22}">
  <dimension ref="A1:E11"/>
  <sheetViews>
    <sheetView workbookViewId="0"/>
  </sheetViews>
  <sheetFormatPr defaultRowHeight="14.25" x14ac:dyDescent="0.45"/>
  <sheetData>
    <row r="1" spans="1:5" s="5" customFormat="1" x14ac:dyDescent="0.45">
      <c r="A1" s="5" t="s">
        <v>0</v>
      </c>
      <c r="B1" s="5" t="s">
        <v>38</v>
      </c>
      <c r="C1" s="5" t="s">
        <v>39</v>
      </c>
      <c r="D1" s="5" t="s">
        <v>37</v>
      </c>
      <c r="E1" s="5" t="s">
        <v>41</v>
      </c>
    </row>
    <row r="2" spans="1:5" x14ac:dyDescent="0.45">
      <c r="A2" s="7">
        <v>45901</v>
      </c>
      <c r="B2">
        <v>1</v>
      </c>
      <c r="C2">
        <v>1</v>
      </c>
      <c r="D2">
        <v>1</v>
      </c>
    </row>
    <row r="3" spans="1:5" x14ac:dyDescent="0.45">
      <c r="A3" s="7">
        <v>45931</v>
      </c>
      <c r="B3">
        <v>1</v>
      </c>
      <c r="C3">
        <v>1</v>
      </c>
      <c r="D3">
        <v>1</v>
      </c>
    </row>
    <row r="4" spans="1:5" x14ac:dyDescent="0.45">
      <c r="A4" s="7">
        <v>45962</v>
      </c>
      <c r="B4">
        <v>1</v>
      </c>
      <c r="C4">
        <v>1</v>
      </c>
      <c r="D4">
        <v>1</v>
      </c>
    </row>
    <row r="5" spans="1:5" x14ac:dyDescent="0.45">
      <c r="A5" s="7">
        <v>45992</v>
      </c>
      <c r="B5">
        <v>1</v>
      </c>
      <c r="C5">
        <v>1</v>
      </c>
      <c r="D5">
        <v>1</v>
      </c>
      <c r="E5">
        <v>1</v>
      </c>
    </row>
    <row r="6" spans="1:5" x14ac:dyDescent="0.45">
      <c r="A6" s="7">
        <v>46023</v>
      </c>
      <c r="B6">
        <v>1</v>
      </c>
      <c r="C6">
        <v>1</v>
      </c>
      <c r="D6">
        <v>1</v>
      </c>
      <c r="E6">
        <v>1</v>
      </c>
    </row>
    <row r="7" spans="1:5" x14ac:dyDescent="0.45">
      <c r="A7" s="7">
        <v>46054</v>
      </c>
      <c r="B7">
        <v>1</v>
      </c>
      <c r="C7">
        <v>1</v>
      </c>
      <c r="D7">
        <v>1</v>
      </c>
      <c r="E7">
        <v>1</v>
      </c>
    </row>
    <row r="8" spans="1:5" x14ac:dyDescent="0.45">
      <c r="A8" s="7">
        <v>46082</v>
      </c>
      <c r="B8">
        <v>1</v>
      </c>
      <c r="C8">
        <v>1</v>
      </c>
      <c r="D8">
        <v>1</v>
      </c>
      <c r="E8">
        <v>1</v>
      </c>
    </row>
    <row r="9" spans="1:5" x14ac:dyDescent="0.45">
      <c r="A9" s="7">
        <v>46113</v>
      </c>
      <c r="B9">
        <v>1</v>
      </c>
      <c r="C9">
        <v>1</v>
      </c>
      <c r="D9">
        <v>1</v>
      </c>
      <c r="E9">
        <v>1</v>
      </c>
    </row>
    <row r="10" spans="1:5" x14ac:dyDescent="0.45">
      <c r="A10" s="7">
        <v>46143</v>
      </c>
      <c r="B10">
        <v>1</v>
      </c>
      <c r="C10">
        <v>1</v>
      </c>
      <c r="D10">
        <v>1</v>
      </c>
      <c r="E10">
        <v>1</v>
      </c>
    </row>
    <row r="11" spans="1:5" x14ac:dyDescent="0.45">
      <c r="A11" s="7">
        <v>46174</v>
      </c>
      <c r="B11">
        <v>1</v>
      </c>
      <c r="C11">
        <v>1</v>
      </c>
      <c r="D11">
        <v>1</v>
      </c>
      <c r="E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CE4A-FD41-4438-B1B1-1043AEF3C11E}">
  <dimension ref="A1:D13"/>
  <sheetViews>
    <sheetView workbookViewId="0"/>
  </sheetViews>
  <sheetFormatPr defaultRowHeight="14.25" x14ac:dyDescent="0.45"/>
  <cols>
    <col min="4" max="4" width="10.86328125" bestFit="1" customWidth="1"/>
  </cols>
  <sheetData>
    <row r="1" spans="1:4" s="5" customFormat="1" x14ac:dyDescent="0.45">
      <c r="A1" s="5" t="s">
        <v>0</v>
      </c>
      <c r="B1" s="5" t="s">
        <v>5</v>
      </c>
      <c r="C1" s="5" t="s">
        <v>6</v>
      </c>
      <c r="D1" s="5" t="s">
        <v>7</v>
      </c>
    </row>
    <row r="2" spans="1:4" x14ac:dyDescent="0.45">
      <c r="A2" s="7">
        <v>45870</v>
      </c>
    </row>
    <row r="3" spans="1:4" x14ac:dyDescent="0.45">
      <c r="A3" s="7">
        <v>45901</v>
      </c>
      <c r="B3">
        <v>2</v>
      </c>
    </row>
    <row r="4" spans="1:4" x14ac:dyDescent="0.45">
      <c r="A4" s="7">
        <v>45931</v>
      </c>
      <c r="B4">
        <v>3</v>
      </c>
      <c r="C4">
        <v>1</v>
      </c>
      <c r="D4">
        <v>1</v>
      </c>
    </row>
    <row r="5" spans="1:4" x14ac:dyDescent="0.45">
      <c r="A5" s="7">
        <v>45962</v>
      </c>
      <c r="B5">
        <v>4</v>
      </c>
      <c r="C5">
        <v>1</v>
      </c>
    </row>
    <row r="6" spans="1:4" x14ac:dyDescent="0.45">
      <c r="A6" s="7">
        <v>45992</v>
      </c>
      <c r="B6">
        <v>4</v>
      </c>
      <c r="C6">
        <v>1</v>
      </c>
    </row>
    <row r="7" spans="1:4" x14ac:dyDescent="0.45">
      <c r="A7" s="7">
        <v>46023</v>
      </c>
      <c r="B7">
        <v>3</v>
      </c>
      <c r="C7">
        <v>1</v>
      </c>
    </row>
    <row r="8" spans="1:4" x14ac:dyDescent="0.45">
      <c r="A8" s="7">
        <v>46054</v>
      </c>
      <c r="B8">
        <v>2</v>
      </c>
      <c r="C8">
        <v>2</v>
      </c>
      <c r="D8">
        <v>1</v>
      </c>
    </row>
    <row r="9" spans="1:4" x14ac:dyDescent="0.45">
      <c r="A9" s="7">
        <v>46082</v>
      </c>
      <c r="C9">
        <v>3</v>
      </c>
      <c r="D9">
        <v>1</v>
      </c>
    </row>
    <row r="10" spans="1:4" x14ac:dyDescent="0.45">
      <c r="A10" s="7">
        <v>46113</v>
      </c>
      <c r="B10">
        <v>1</v>
      </c>
      <c r="C10">
        <v>3</v>
      </c>
    </row>
    <row r="11" spans="1:4" x14ac:dyDescent="0.45">
      <c r="A11" s="7">
        <v>46143</v>
      </c>
      <c r="B11">
        <v>2</v>
      </c>
      <c r="C11">
        <v>2</v>
      </c>
    </row>
    <row r="12" spans="1:4" x14ac:dyDescent="0.45">
      <c r="A12" s="7">
        <v>46174</v>
      </c>
      <c r="B12">
        <v>3</v>
      </c>
      <c r="C12">
        <v>2</v>
      </c>
    </row>
    <row r="13" spans="1:4" x14ac:dyDescent="0.45">
      <c r="A13" s="10">
        <v>46204</v>
      </c>
      <c r="C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58E2-6474-4743-9186-B31DDC8C65DD}">
  <dimension ref="A1:G12"/>
  <sheetViews>
    <sheetView workbookViewId="0"/>
  </sheetViews>
  <sheetFormatPr defaultRowHeight="14.25" x14ac:dyDescent="0.45"/>
  <cols>
    <col min="3" max="5" width="11.46484375" customWidth="1"/>
    <col min="6" max="6" width="9.86328125" customWidth="1"/>
    <col min="7" max="7" width="10.46484375" customWidth="1"/>
  </cols>
  <sheetData>
    <row r="1" spans="1:7" s="5" customFormat="1" x14ac:dyDescent="0.45">
      <c r="A1" s="5" t="s">
        <v>0</v>
      </c>
      <c r="B1" s="5" t="s">
        <v>49</v>
      </c>
      <c r="C1" s="5" t="s">
        <v>51</v>
      </c>
      <c r="D1" s="5" t="s">
        <v>8</v>
      </c>
      <c r="E1" s="5" t="s">
        <v>58</v>
      </c>
      <c r="F1" s="5" t="s">
        <v>59</v>
      </c>
      <c r="G1" s="5" t="s">
        <v>60</v>
      </c>
    </row>
    <row r="2" spans="1:7" x14ac:dyDescent="0.45">
      <c r="A2" s="7">
        <v>45870</v>
      </c>
      <c r="B2" s="7"/>
    </row>
    <row r="3" spans="1:7" x14ac:dyDescent="0.45">
      <c r="A3" s="7">
        <v>45901</v>
      </c>
      <c r="B3" s="30">
        <v>31</v>
      </c>
      <c r="G3">
        <v>1</v>
      </c>
    </row>
    <row r="4" spans="1:7" x14ac:dyDescent="0.45">
      <c r="A4" s="7">
        <v>45931</v>
      </c>
      <c r="B4" s="30">
        <v>14</v>
      </c>
      <c r="D4">
        <v>1</v>
      </c>
    </row>
    <row r="5" spans="1:7" x14ac:dyDescent="0.45">
      <c r="A5" s="7">
        <v>45962</v>
      </c>
      <c r="B5" s="30">
        <v>5</v>
      </c>
      <c r="C5">
        <v>1</v>
      </c>
    </row>
    <row r="6" spans="1:7" x14ac:dyDescent="0.45">
      <c r="A6" s="7">
        <v>45992</v>
      </c>
      <c r="B6" s="30">
        <v>22</v>
      </c>
      <c r="F6">
        <v>1</v>
      </c>
    </row>
    <row r="7" spans="1:7" x14ac:dyDescent="0.45">
      <c r="A7" s="7">
        <v>46023</v>
      </c>
      <c r="B7" s="30">
        <v>25</v>
      </c>
      <c r="F7">
        <v>1</v>
      </c>
    </row>
    <row r="8" spans="1:7" x14ac:dyDescent="0.45">
      <c r="A8" s="7">
        <v>46054</v>
      </c>
      <c r="B8" s="30">
        <v>27</v>
      </c>
      <c r="G8">
        <v>1</v>
      </c>
    </row>
    <row r="9" spans="1:7" x14ac:dyDescent="0.45">
      <c r="A9" s="7">
        <v>46082</v>
      </c>
      <c r="B9" s="30">
        <v>6</v>
      </c>
      <c r="C9">
        <v>1</v>
      </c>
    </row>
    <row r="10" spans="1:7" x14ac:dyDescent="0.45">
      <c r="A10" s="7">
        <v>46113</v>
      </c>
      <c r="B10" s="30">
        <v>10</v>
      </c>
      <c r="C10">
        <v>1</v>
      </c>
    </row>
    <row r="11" spans="1:7" x14ac:dyDescent="0.45">
      <c r="A11" s="7">
        <v>46143</v>
      </c>
      <c r="B11" s="30">
        <v>11</v>
      </c>
      <c r="D11">
        <v>1</v>
      </c>
    </row>
    <row r="12" spans="1:7" x14ac:dyDescent="0.45">
      <c r="A12" s="7">
        <v>46174</v>
      </c>
      <c r="B12" s="30">
        <v>3</v>
      </c>
      <c r="C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7062-3546-44DB-9B91-9E94676B958C}">
  <dimension ref="A1:E6"/>
  <sheetViews>
    <sheetView workbookViewId="0"/>
  </sheetViews>
  <sheetFormatPr defaultRowHeight="14.25" x14ac:dyDescent="0.45"/>
  <cols>
    <col min="1" max="1" width="7.19921875" style="1" customWidth="1"/>
    <col min="2" max="3" width="9.19921875" customWidth="1"/>
    <col min="4" max="4" width="15.33203125" customWidth="1"/>
    <col min="5" max="5" width="15.46484375" bestFit="1" customWidth="1"/>
  </cols>
  <sheetData>
    <row r="1" spans="1:5" s="5" customFormat="1" x14ac:dyDescent="0.45">
      <c r="A1" s="6" t="s">
        <v>9</v>
      </c>
      <c r="B1" s="5" t="s">
        <v>50</v>
      </c>
      <c r="C1" s="5" t="s">
        <v>49</v>
      </c>
      <c r="D1" s="5" t="s">
        <v>10</v>
      </c>
      <c r="E1" s="5" t="s">
        <v>11</v>
      </c>
    </row>
    <row r="2" spans="1:5" x14ac:dyDescent="0.45">
      <c r="A2" s="9">
        <v>4</v>
      </c>
      <c r="B2">
        <v>3</v>
      </c>
      <c r="C2">
        <f>31+28+31</f>
        <v>90</v>
      </c>
      <c r="E2">
        <v>1</v>
      </c>
    </row>
    <row r="3" spans="1:5" x14ac:dyDescent="0.45">
      <c r="A3" s="9">
        <v>1</v>
      </c>
      <c r="B3">
        <v>4</v>
      </c>
      <c r="C3">
        <v>30</v>
      </c>
      <c r="D3">
        <v>1</v>
      </c>
    </row>
    <row r="4" spans="1:5" x14ac:dyDescent="0.45">
      <c r="A4" s="9"/>
    </row>
    <row r="5" spans="1:5" x14ac:dyDescent="0.45">
      <c r="A5" s="9"/>
    </row>
    <row r="6" spans="1:5" x14ac:dyDescent="0.45">
      <c r="A6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9A8F-1670-4E3F-AD65-057736711737}">
  <dimension ref="A1:N12"/>
  <sheetViews>
    <sheetView workbookViewId="0"/>
  </sheetViews>
  <sheetFormatPr defaultRowHeight="14.25" x14ac:dyDescent="0.45"/>
  <cols>
    <col min="2" max="9" width="9.46484375" customWidth="1"/>
    <col min="10" max="11" width="9.19921875" bestFit="1" customWidth="1"/>
  </cols>
  <sheetData>
    <row r="1" spans="1:14" s="5" customFormat="1" x14ac:dyDescent="0.45">
      <c r="A1" s="12" t="s">
        <v>0</v>
      </c>
      <c r="B1" s="33" t="s">
        <v>38</v>
      </c>
      <c r="C1" s="33"/>
      <c r="D1" s="33"/>
      <c r="E1" s="33"/>
      <c r="F1" s="33"/>
      <c r="G1" s="33"/>
      <c r="H1" s="32" t="s">
        <v>39</v>
      </c>
      <c r="I1" s="32"/>
      <c r="J1" s="32"/>
      <c r="K1" s="15" t="s">
        <v>37</v>
      </c>
      <c r="L1" s="31" t="s">
        <v>41</v>
      </c>
      <c r="M1" s="31"/>
      <c r="N1" s="31"/>
    </row>
    <row r="2" spans="1:14" s="5" customFormat="1" x14ac:dyDescent="0.45">
      <c r="A2" s="11"/>
      <c r="B2" s="16" t="s">
        <v>81</v>
      </c>
      <c r="C2" s="16" t="s">
        <v>84</v>
      </c>
      <c r="D2" s="16" t="s">
        <v>80</v>
      </c>
      <c r="E2" s="16" t="s">
        <v>85</v>
      </c>
      <c r="F2" s="16" t="s">
        <v>86</v>
      </c>
      <c r="G2" s="16" t="s">
        <v>82</v>
      </c>
      <c r="H2" s="17" t="s">
        <v>81</v>
      </c>
      <c r="I2" s="17" t="s">
        <v>82</v>
      </c>
      <c r="J2" s="17" t="s">
        <v>83</v>
      </c>
      <c r="K2" s="18" t="s">
        <v>81</v>
      </c>
      <c r="L2" s="19" t="s">
        <v>78</v>
      </c>
      <c r="M2" s="19" t="s">
        <v>79</v>
      </c>
      <c r="N2" s="19" t="s">
        <v>80</v>
      </c>
    </row>
    <row r="3" spans="1:14" x14ac:dyDescent="0.45">
      <c r="A3" s="26">
        <v>45901</v>
      </c>
      <c r="B3" s="16">
        <v>175</v>
      </c>
      <c r="C3" s="16"/>
      <c r="D3" s="16"/>
      <c r="E3" s="16"/>
      <c r="F3" s="16"/>
      <c r="G3" s="16"/>
      <c r="H3" s="17">
        <v>192</v>
      </c>
      <c r="I3" s="17">
        <v>0</v>
      </c>
      <c r="J3" s="17">
        <v>0</v>
      </c>
      <c r="K3" s="18">
        <v>126</v>
      </c>
      <c r="L3" s="19"/>
      <c r="M3" s="19"/>
      <c r="N3" s="19"/>
    </row>
    <row r="4" spans="1:14" x14ac:dyDescent="0.45">
      <c r="A4" s="26">
        <v>45931</v>
      </c>
      <c r="B4" s="16">
        <v>148</v>
      </c>
      <c r="C4" s="16">
        <v>2</v>
      </c>
      <c r="D4" s="16">
        <v>2</v>
      </c>
      <c r="E4" s="16"/>
      <c r="F4" s="16"/>
      <c r="G4" s="16"/>
      <c r="H4" s="17">
        <v>142</v>
      </c>
      <c r="I4" s="17">
        <v>12</v>
      </c>
      <c r="J4" s="17">
        <v>0</v>
      </c>
      <c r="K4" s="18">
        <v>149</v>
      </c>
      <c r="L4" s="19"/>
      <c r="M4" s="19"/>
      <c r="N4" s="19"/>
    </row>
    <row r="5" spans="1:14" x14ac:dyDescent="0.45">
      <c r="A5" s="26">
        <v>45962</v>
      </c>
      <c r="B5" s="16">
        <v>155</v>
      </c>
      <c r="C5" s="16">
        <v>2</v>
      </c>
      <c r="D5" s="16">
        <v>2</v>
      </c>
      <c r="E5" s="16"/>
      <c r="F5" s="16"/>
      <c r="G5" s="16">
        <v>9</v>
      </c>
      <c r="H5" s="17">
        <v>266</v>
      </c>
      <c r="I5" s="17">
        <v>19</v>
      </c>
      <c r="J5" s="17">
        <v>9</v>
      </c>
      <c r="K5" s="18">
        <v>285</v>
      </c>
      <c r="L5" s="19"/>
      <c r="M5" s="19"/>
      <c r="N5" s="19"/>
    </row>
    <row r="6" spans="1:14" x14ac:dyDescent="0.45">
      <c r="A6" s="26">
        <v>45992</v>
      </c>
      <c r="B6" s="16">
        <v>35</v>
      </c>
      <c r="C6" s="16">
        <v>2</v>
      </c>
      <c r="D6" s="16">
        <v>2</v>
      </c>
      <c r="E6" s="16"/>
      <c r="F6" s="16"/>
      <c r="G6" s="16">
        <v>9</v>
      </c>
      <c r="H6" s="17">
        <v>122</v>
      </c>
      <c r="I6" s="17">
        <v>18</v>
      </c>
      <c r="J6" s="17">
        <v>7</v>
      </c>
      <c r="K6" s="18">
        <v>263</v>
      </c>
      <c r="L6" s="19"/>
      <c r="M6" s="19"/>
      <c r="N6" s="19"/>
    </row>
    <row r="7" spans="1:14" x14ac:dyDescent="0.45">
      <c r="A7" s="26">
        <v>46023</v>
      </c>
      <c r="B7" s="16">
        <v>101</v>
      </c>
      <c r="C7" s="16">
        <v>2</v>
      </c>
      <c r="D7" s="16">
        <v>2</v>
      </c>
      <c r="E7" s="16"/>
      <c r="F7" s="16"/>
      <c r="G7" s="16"/>
      <c r="H7" s="17">
        <v>155</v>
      </c>
      <c r="I7" s="17">
        <v>6</v>
      </c>
      <c r="J7" s="17">
        <v>0</v>
      </c>
      <c r="K7" s="18"/>
      <c r="L7" s="19">
        <v>186</v>
      </c>
      <c r="M7" s="19"/>
      <c r="N7" s="19">
        <v>45</v>
      </c>
    </row>
    <row r="8" spans="1:14" x14ac:dyDescent="0.45">
      <c r="A8" s="26">
        <v>46054</v>
      </c>
      <c r="B8" s="16">
        <v>97</v>
      </c>
      <c r="C8" s="16">
        <v>2</v>
      </c>
      <c r="D8" s="16">
        <v>2</v>
      </c>
      <c r="E8" s="16"/>
      <c r="F8" s="16"/>
      <c r="G8" s="16">
        <v>2</v>
      </c>
      <c r="H8" s="17">
        <v>309</v>
      </c>
      <c r="I8" s="17">
        <v>12</v>
      </c>
      <c r="J8" s="17">
        <v>4</v>
      </c>
      <c r="K8" s="18">
        <v>237</v>
      </c>
      <c r="L8" s="19">
        <v>132</v>
      </c>
      <c r="M8" s="19">
        <v>28</v>
      </c>
      <c r="N8" s="19">
        <v>46</v>
      </c>
    </row>
    <row r="9" spans="1:14" x14ac:dyDescent="0.45">
      <c r="A9" s="26">
        <v>46082</v>
      </c>
      <c r="B9" s="16">
        <v>200</v>
      </c>
      <c r="C9" s="16">
        <v>2</v>
      </c>
      <c r="D9" s="16">
        <v>2</v>
      </c>
      <c r="E9" s="16">
        <v>16</v>
      </c>
      <c r="F9" s="16">
        <v>5</v>
      </c>
      <c r="G9" s="16">
        <v>16</v>
      </c>
      <c r="H9" s="17">
        <v>323</v>
      </c>
      <c r="I9" s="17">
        <v>15</v>
      </c>
      <c r="J9" s="17">
        <v>10</v>
      </c>
      <c r="K9" s="18">
        <v>277</v>
      </c>
      <c r="L9" s="19">
        <v>198</v>
      </c>
      <c r="M9" s="19">
        <v>76</v>
      </c>
      <c r="N9" s="19">
        <v>67</v>
      </c>
    </row>
    <row r="10" spans="1:14" x14ac:dyDescent="0.45">
      <c r="A10" s="26">
        <v>46113</v>
      </c>
      <c r="B10" s="16">
        <v>185</v>
      </c>
      <c r="C10" s="16">
        <v>2</v>
      </c>
      <c r="D10" s="16">
        <v>2</v>
      </c>
      <c r="E10" s="16"/>
      <c r="F10" s="16">
        <v>5</v>
      </c>
      <c r="G10" s="16">
        <v>13</v>
      </c>
      <c r="H10" s="17">
        <v>156</v>
      </c>
      <c r="I10" s="17">
        <v>11</v>
      </c>
      <c r="J10" s="17">
        <v>2</v>
      </c>
      <c r="K10" s="18">
        <v>229</v>
      </c>
      <c r="L10" s="19">
        <v>113</v>
      </c>
      <c r="M10" s="19">
        <v>54</v>
      </c>
      <c r="N10" s="19">
        <v>133</v>
      </c>
    </row>
    <row r="11" spans="1:14" x14ac:dyDescent="0.45">
      <c r="A11" s="26">
        <v>46143</v>
      </c>
      <c r="B11" s="16">
        <v>188</v>
      </c>
      <c r="C11" s="16">
        <v>2</v>
      </c>
      <c r="D11" s="16">
        <v>2</v>
      </c>
      <c r="E11" s="16">
        <v>11</v>
      </c>
      <c r="F11" s="16">
        <v>5</v>
      </c>
      <c r="G11" s="16">
        <v>13</v>
      </c>
      <c r="H11" s="17">
        <v>132</v>
      </c>
      <c r="I11" s="17">
        <v>25</v>
      </c>
      <c r="J11" s="17">
        <v>9</v>
      </c>
      <c r="K11" s="18">
        <v>184</v>
      </c>
      <c r="L11" s="19">
        <v>301</v>
      </c>
      <c r="M11" s="19">
        <v>63</v>
      </c>
      <c r="N11" s="19">
        <v>122</v>
      </c>
    </row>
    <row r="12" spans="1:14" x14ac:dyDescent="0.45">
      <c r="A12" s="26">
        <v>46174</v>
      </c>
      <c r="B12" s="16">
        <v>169</v>
      </c>
      <c r="C12" s="16">
        <v>2</v>
      </c>
      <c r="D12" s="16">
        <v>2</v>
      </c>
      <c r="E12" s="16">
        <v>9</v>
      </c>
      <c r="F12" s="16">
        <v>5</v>
      </c>
      <c r="G12" s="16">
        <v>6</v>
      </c>
      <c r="H12" s="17">
        <v>145</v>
      </c>
      <c r="I12" s="17">
        <v>59</v>
      </c>
      <c r="J12" s="17">
        <v>5</v>
      </c>
      <c r="K12" s="18">
        <v>41</v>
      </c>
      <c r="L12" s="19">
        <v>1</v>
      </c>
      <c r="M12" s="19">
        <v>23</v>
      </c>
      <c r="N12" s="19">
        <v>96</v>
      </c>
    </row>
  </sheetData>
  <mergeCells count="3">
    <mergeCell ref="L1:N1"/>
    <mergeCell ref="H1:J1"/>
    <mergeCell ref="B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B969-0322-46FB-BBE7-98548BAE1234}">
  <dimension ref="A1:Q15"/>
  <sheetViews>
    <sheetView zoomScaleNormal="80" zoomScaleSheetLayoutView="100" workbookViewId="0"/>
  </sheetViews>
  <sheetFormatPr defaultRowHeight="14.25" x14ac:dyDescent="0.45"/>
  <cols>
    <col min="4" max="5" width="8.86328125"/>
    <col min="13" max="16" width="8.86328125"/>
  </cols>
  <sheetData>
    <row r="1" spans="1:17" x14ac:dyDescent="0.45">
      <c r="A1" s="21" t="s">
        <v>0</v>
      </c>
      <c r="B1" s="34" t="s">
        <v>75</v>
      </c>
      <c r="C1" s="34"/>
      <c r="D1" s="34"/>
      <c r="E1" s="34"/>
      <c r="F1" s="34"/>
      <c r="G1" s="35" t="s">
        <v>39</v>
      </c>
      <c r="H1" s="35"/>
      <c r="I1" s="35"/>
      <c r="J1" s="22" t="s">
        <v>37</v>
      </c>
      <c r="K1" s="22"/>
      <c r="L1" s="22"/>
      <c r="M1" s="22"/>
      <c r="N1" s="22"/>
      <c r="O1" s="22"/>
      <c r="P1" s="22"/>
      <c r="Q1" s="21" t="s">
        <v>76</v>
      </c>
    </row>
    <row r="2" spans="1:17" ht="42.75" x14ac:dyDescent="0.45">
      <c r="A2" s="13"/>
      <c r="B2" s="23" t="s">
        <v>94</v>
      </c>
      <c r="C2" s="23" t="s">
        <v>95</v>
      </c>
      <c r="D2" s="23" t="s">
        <v>98</v>
      </c>
      <c r="E2" s="23" t="s">
        <v>96</v>
      </c>
      <c r="F2" s="23" t="s">
        <v>97</v>
      </c>
      <c r="G2" s="24" t="s">
        <v>91</v>
      </c>
      <c r="H2" s="24" t="s">
        <v>92</v>
      </c>
      <c r="I2" s="24" t="s">
        <v>93</v>
      </c>
      <c r="J2" s="25" t="s">
        <v>80</v>
      </c>
      <c r="K2" s="25" t="s">
        <v>79</v>
      </c>
      <c r="L2" s="25" t="s">
        <v>87</v>
      </c>
      <c r="M2" s="25" t="s">
        <v>89</v>
      </c>
      <c r="N2" s="25" t="s">
        <v>88</v>
      </c>
      <c r="O2" s="25" t="s">
        <v>89</v>
      </c>
      <c r="P2" s="25" t="s">
        <v>90</v>
      </c>
      <c r="Q2" s="13" t="s">
        <v>77</v>
      </c>
    </row>
    <row r="3" spans="1:17" x14ac:dyDescent="0.45">
      <c r="A3" s="26">
        <v>46290</v>
      </c>
      <c r="B3" s="23"/>
      <c r="C3" s="23"/>
      <c r="D3" s="23"/>
      <c r="E3" s="23"/>
      <c r="F3" s="23"/>
      <c r="G3" s="24"/>
      <c r="H3" s="24"/>
      <c r="I3" s="24"/>
      <c r="J3" s="25"/>
      <c r="K3" s="25"/>
      <c r="L3" s="25"/>
      <c r="M3" s="25"/>
      <c r="N3" s="25"/>
      <c r="O3" s="25"/>
      <c r="P3" s="25"/>
      <c r="Q3" s="13"/>
    </row>
    <row r="4" spans="1:17" x14ac:dyDescent="0.45">
      <c r="A4" s="26">
        <v>46320</v>
      </c>
      <c r="B4" s="23"/>
      <c r="C4" s="23"/>
      <c r="D4" s="23"/>
      <c r="E4" s="23"/>
      <c r="F4" s="23"/>
      <c r="G4" s="24"/>
      <c r="H4" s="24"/>
      <c r="I4" s="24"/>
      <c r="J4" s="25"/>
      <c r="K4" s="25"/>
      <c r="L4" s="25"/>
      <c r="M4" s="25"/>
      <c r="N4" s="25"/>
      <c r="O4" s="25"/>
      <c r="P4" s="25"/>
      <c r="Q4" s="13"/>
    </row>
    <row r="5" spans="1:17" x14ac:dyDescent="0.45">
      <c r="A5" s="26">
        <v>46351</v>
      </c>
      <c r="B5" s="23"/>
      <c r="C5" s="23"/>
      <c r="D5" s="23"/>
      <c r="E5" s="23"/>
      <c r="F5" s="23"/>
      <c r="G5" s="24"/>
      <c r="H5" s="24"/>
      <c r="I5" s="24"/>
      <c r="J5" s="25"/>
      <c r="K5" s="25"/>
      <c r="L5" s="25"/>
      <c r="M5" s="25"/>
      <c r="N5" s="25"/>
      <c r="O5" s="25"/>
      <c r="P5" s="25"/>
      <c r="Q5" s="13"/>
    </row>
    <row r="6" spans="1:17" x14ac:dyDescent="0.45">
      <c r="A6" s="26">
        <v>46381</v>
      </c>
      <c r="B6" s="23"/>
      <c r="C6" s="23">
        <v>6</v>
      </c>
      <c r="D6" s="23">
        <v>12</v>
      </c>
      <c r="E6" s="23"/>
      <c r="F6" s="23"/>
      <c r="G6" s="24">
        <v>10</v>
      </c>
      <c r="H6" s="24"/>
      <c r="I6" s="24"/>
      <c r="J6" s="25"/>
      <c r="K6" s="25"/>
      <c r="L6" s="25"/>
      <c r="M6" s="25"/>
      <c r="N6" s="25"/>
      <c r="O6" s="25"/>
      <c r="P6" s="25"/>
      <c r="Q6" s="13">
        <v>4</v>
      </c>
    </row>
    <row r="7" spans="1:17" x14ac:dyDescent="0.45">
      <c r="A7" s="26">
        <v>46048</v>
      </c>
      <c r="B7" s="23"/>
      <c r="C7" s="23"/>
      <c r="D7" s="23"/>
      <c r="E7" s="23">
        <v>3</v>
      </c>
      <c r="F7" s="23"/>
      <c r="G7" s="24"/>
      <c r="H7" s="24"/>
      <c r="I7" s="24">
        <v>11</v>
      </c>
      <c r="J7" s="25">
        <v>11</v>
      </c>
      <c r="K7" s="25"/>
      <c r="L7" s="25"/>
      <c r="M7" s="25"/>
      <c r="N7" s="25"/>
      <c r="O7" s="25"/>
      <c r="P7" s="25"/>
      <c r="Q7" s="13"/>
    </row>
    <row r="8" spans="1:17" x14ac:dyDescent="0.45">
      <c r="A8" s="26">
        <v>46079</v>
      </c>
      <c r="B8" s="23"/>
      <c r="C8" s="23"/>
      <c r="D8" s="23"/>
      <c r="E8" s="23"/>
      <c r="F8" s="23">
        <v>3</v>
      </c>
      <c r="G8" s="24"/>
      <c r="H8" s="24"/>
      <c r="I8" s="24"/>
      <c r="J8" s="25"/>
      <c r="K8" s="25"/>
      <c r="L8" s="25"/>
      <c r="M8" s="25"/>
      <c r="N8" s="25"/>
      <c r="O8" s="25"/>
      <c r="P8" s="25"/>
      <c r="Q8" s="13"/>
    </row>
    <row r="9" spans="1:17" x14ac:dyDescent="0.45">
      <c r="A9" s="26">
        <v>46107</v>
      </c>
      <c r="B9" s="23"/>
      <c r="C9" s="23"/>
      <c r="D9" s="23"/>
      <c r="E9" s="23"/>
      <c r="F9" s="23"/>
      <c r="G9" s="24"/>
      <c r="H9" s="24"/>
      <c r="I9" s="24"/>
      <c r="J9" s="25"/>
      <c r="K9" s="25"/>
      <c r="L9" s="25"/>
      <c r="M9" s="25"/>
      <c r="N9" s="25"/>
      <c r="O9" s="25">
        <v>8</v>
      </c>
      <c r="P9" s="25"/>
      <c r="Q9" s="13"/>
    </row>
    <row r="10" spans="1:17" x14ac:dyDescent="0.45">
      <c r="A10" s="26">
        <v>46138</v>
      </c>
      <c r="B10" s="23"/>
      <c r="C10" s="23"/>
      <c r="D10" s="23"/>
      <c r="E10" s="23"/>
      <c r="F10" s="23"/>
      <c r="G10" s="24"/>
      <c r="H10" s="24"/>
      <c r="I10" s="24"/>
      <c r="J10" s="25"/>
      <c r="K10" s="25"/>
      <c r="L10" s="25"/>
      <c r="M10" s="25"/>
      <c r="N10" s="25"/>
      <c r="O10" s="25"/>
      <c r="P10" s="25"/>
      <c r="Q10" s="13"/>
    </row>
    <row r="11" spans="1:17" x14ac:dyDescent="0.45">
      <c r="A11" s="26">
        <v>46168</v>
      </c>
      <c r="B11" s="23"/>
      <c r="C11" s="23"/>
      <c r="D11" s="23"/>
      <c r="E11" s="23"/>
      <c r="F11" s="23"/>
      <c r="G11" s="24"/>
      <c r="H11" s="24"/>
      <c r="I11" s="24"/>
      <c r="J11" s="25"/>
      <c r="K11" s="25"/>
      <c r="L11" s="25"/>
      <c r="M11" s="25"/>
      <c r="N11" s="25"/>
      <c r="O11" s="25"/>
      <c r="P11" s="25"/>
      <c r="Q11" s="13"/>
    </row>
    <row r="12" spans="1:17" x14ac:dyDescent="0.45">
      <c r="A12" s="26">
        <v>46199</v>
      </c>
      <c r="B12" s="23">
        <v>16</v>
      </c>
      <c r="C12" s="27"/>
      <c r="D12" s="27"/>
      <c r="E12" s="27"/>
      <c r="F12" s="27"/>
      <c r="G12" s="28">
        <v>13</v>
      </c>
      <c r="H12" s="28">
        <v>11</v>
      </c>
      <c r="I12" s="28"/>
      <c r="J12" s="29"/>
      <c r="K12" s="29">
        <v>15</v>
      </c>
      <c r="L12" s="29">
        <v>11</v>
      </c>
      <c r="M12" s="29">
        <v>8</v>
      </c>
      <c r="N12" s="29">
        <v>11</v>
      </c>
      <c r="O12" s="29"/>
      <c r="P12" s="29">
        <v>8</v>
      </c>
      <c r="Q12" s="14">
        <v>4</v>
      </c>
    </row>
    <row r="15" spans="1:17" ht="85.5" x14ac:dyDescent="0.45">
      <c r="J15" s="20" t="s">
        <v>99</v>
      </c>
      <c r="K15" s="20"/>
    </row>
  </sheetData>
  <mergeCells count="2">
    <mergeCell ref="B1:F1"/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EC2F-9022-4F3C-8F04-9817AC5B6AAB}">
  <dimension ref="A1:E12"/>
  <sheetViews>
    <sheetView workbookViewId="0"/>
  </sheetViews>
  <sheetFormatPr defaultRowHeight="14.25" x14ac:dyDescent="0.45"/>
  <cols>
    <col min="2" max="2" width="13.796875" customWidth="1"/>
  </cols>
  <sheetData>
    <row r="1" spans="1:5" s="5" customFormat="1" x14ac:dyDescent="0.45">
      <c r="A1" s="5" t="s">
        <v>0</v>
      </c>
      <c r="B1" s="5" t="s">
        <v>55</v>
      </c>
      <c r="C1" s="5" t="s">
        <v>1</v>
      </c>
      <c r="D1" s="5" t="s">
        <v>3</v>
      </c>
      <c r="E1" s="5" t="s">
        <v>2</v>
      </c>
    </row>
    <row r="2" spans="1:5" x14ac:dyDescent="0.45">
      <c r="A2" s="7">
        <v>45870</v>
      </c>
      <c r="B2" s="1">
        <v>0</v>
      </c>
      <c r="C2">
        <v>0</v>
      </c>
      <c r="D2">
        <v>0</v>
      </c>
      <c r="E2">
        <f>6/30*3</f>
        <v>0.60000000000000009</v>
      </c>
    </row>
    <row r="3" spans="1:5" x14ac:dyDescent="0.45">
      <c r="A3" s="7">
        <v>45901</v>
      </c>
      <c r="B3" s="1">
        <v>60</v>
      </c>
      <c r="C3">
        <f>1786/30</f>
        <v>59.533333333333331</v>
      </c>
      <c r="D3">
        <v>0</v>
      </c>
      <c r="E3">
        <v>3</v>
      </c>
    </row>
    <row r="4" spans="1:5" x14ac:dyDescent="0.45">
      <c r="A4" s="7">
        <v>45931</v>
      </c>
      <c r="B4" s="1">
        <v>64</v>
      </c>
      <c r="C4">
        <f>1901/30</f>
        <v>63.366666666666667</v>
      </c>
      <c r="D4">
        <v>0</v>
      </c>
      <c r="E4">
        <v>3</v>
      </c>
    </row>
    <row r="5" spans="1:5" x14ac:dyDescent="0.45">
      <c r="A5" s="7">
        <v>45962</v>
      </c>
      <c r="B5" s="1">
        <v>59</v>
      </c>
      <c r="C5">
        <f>1694/30</f>
        <v>56.466666666666669</v>
      </c>
      <c r="D5">
        <v>0</v>
      </c>
      <c r="E5">
        <v>3</v>
      </c>
    </row>
    <row r="6" spans="1:5" x14ac:dyDescent="0.45">
      <c r="A6" s="7">
        <v>45992</v>
      </c>
      <c r="B6" s="1">
        <v>59</v>
      </c>
      <c r="C6">
        <f>1755/30</f>
        <v>58.5</v>
      </c>
      <c r="D6">
        <v>0</v>
      </c>
      <c r="E6">
        <v>3</v>
      </c>
    </row>
    <row r="7" spans="1:5" x14ac:dyDescent="0.45">
      <c r="A7" s="7">
        <v>46023</v>
      </c>
      <c r="B7" s="1">
        <v>58</v>
      </c>
      <c r="C7">
        <f>1710/30</f>
        <v>57</v>
      </c>
      <c r="D7">
        <v>1</v>
      </c>
      <c r="E7">
        <v>3</v>
      </c>
    </row>
    <row r="8" spans="1:5" x14ac:dyDescent="0.45">
      <c r="A8" s="7">
        <v>46054</v>
      </c>
      <c r="B8" s="1">
        <v>58</v>
      </c>
      <c r="C8">
        <f>1656/30</f>
        <v>55.2</v>
      </c>
      <c r="D8">
        <v>1</v>
      </c>
      <c r="E8">
        <v>3</v>
      </c>
    </row>
    <row r="9" spans="1:5" x14ac:dyDescent="0.45">
      <c r="A9" s="7">
        <v>46082</v>
      </c>
      <c r="B9" s="1">
        <v>58</v>
      </c>
      <c r="C9">
        <f>1729/30</f>
        <v>57.633333333333333</v>
      </c>
      <c r="D9">
        <v>2</v>
      </c>
      <c r="E9">
        <v>3</v>
      </c>
    </row>
    <row r="10" spans="1:5" x14ac:dyDescent="0.45">
      <c r="A10" s="7">
        <v>46113</v>
      </c>
      <c r="B10" s="1">
        <v>58</v>
      </c>
      <c r="C10">
        <f>1740/30</f>
        <v>58</v>
      </c>
      <c r="D10">
        <v>2</v>
      </c>
      <c r="E10">
        <v>3</v>
      </c>
    </row>
    <row r="11" spans="1:5" x14ac:dyDescent="0.45">
      <c r="A11" s="7">
        <v>46143</v>
      </c>
      <c r="B11" s="1">
        <v>57</v>
      </c>
      <c r="C11">
        <f>1710/30</f>
        <v>57</v>
      </c>
      <c r="D11">
        <v>2</v>
      </c>
      <c r="E11">
        <v>3</v>
      </c>
    </row>
    <row r="12" spans="1:5" x14ac:dyDescent="0.45">
      <c r="A12" s="7">
        <v>46174</v>
      </c>
      <c r="B12" s="1">
        <v>58</v>
      </c>
      <c r="C12">
        <f>1740/30</f>
        <v>58</v>
      </c>
      <c r="D12">
        <v>2</v>
      </c>
      <c r="E12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E1C1-C174-4817-8C8A-9919290A9E4C}">
  <dimension ref="A1:E18"/>
  <sheetViews>
    <sheetView workbookViewId="0"/>
  </sheetViews>
  <sheetFormatPr defaultRowHeight="14.25" x14ac:dyDescent="0.45"/>
  <cols>
    <col min="1" max="1" width="8.796875" style="1" customWidth="1"/>
    <col min="3" max="3" width="10.1328125" customWidth="1"/>
    <col min="4" max="4" width="7.53125" customWidth="1"/>
    <col min="5" max="5" width="13.796875" customWidth="1"/>
  </cols>
  <sheetData>
    <row r="1" spans="1:5" s="5" customFormat="1" x14ac:dyDescent="0.45">
      <c r="A1" s="6" t="s">
        <v>57</v>
      </c>
      <c r="B1" s="5" t="s">
        <v>0</v>
      </c>
      <c r="C1" s="5" t="s">
        <v>4</v>
      </c>
      <c r="D1" s="5" t="s">
        <v>49</v>
      </c>
      <c r="E1" s="5" t="s">
        <v>12</v>
      </c>
    </row>
    <row r="2" spans="1:5" x14ac:dyDescent="0.45">
      <c r="B2" s="7">
        <v>45870</v>
      </c>
    </row>
    <row r="3" spans="1:5" x14ac:dyDescent="0.45">
      <c r="A3" s="1">
        <v>1</v>
      </c>
      <c r="B3" s="7">
        <v>45901</v>
      </c>
      <c r="C3" t="s">
        <v>40</v>
      </c>
      <c r="D3">
        <v>5</v>
      </c>
      <c r="E3" t="s">
        <v>52</v>
      </c>
    </row>
    <row r="4" spans="1:5" x14ac:dyDescent="0.45">
      <c r="A4" s="1">
        <v>2</v>
      </c>
      <c r="B4" s="7">
        <v>45931</v>
      </c>
      <c r="C4" t="s">
        <v>37</v>
      </c>
      <c r="D4">
        <v>4</v>
      </c>
      <c r="E4" t="s">
        <v>52</v>
      </c>
    </row>
    <row r="5" spans="1:5" x14ac:dyDescent="0.45">
      <c r="A5" s="1">
        <v>2</v>
      </c>
      <c r="B5" s="7">
        <v>45931</v>
      </c>
      <c r="C5" t="s">
        <v>39</v>
      </c>
      <c r="D5" s="36">
        <v>4</v>
      </c>
      <c r="E5" t="s">
        <v>52</v>
      </c>
    </row>
    <row r="6" spans="1:5" x14ac:dyDescent="0.45">
      <c r="A6" s="1">
        <v>2</v>
      </c>
      <c r="B6" s="7">
        <v>45931</v>
      </c>
      <c r="C6" t="s">
        <v>41</v>
      </c>
      <c r="D6">
        <v>2</v>
      </c>
      <c r="E6" t="s">
        <v>52</v>
      </c>
    </row>
    <row r="7" spans="1:5" x14ac:dyDescent="0.45">
      <c r="B7" s="7">
        <v>45962</v>
      </c>
    </row>
    <row r="8" spans="1:5" x14ac:dyDescent="0.45">
      <c r="B8" s="7">
        <v>45992</v>
      </c>
    </row>
    <row r="9" spans="1:5" x14ac:dyDescent="0.45">
      <c r="B9" s="7">
        <v>46023</v>
      </c>
    </row>
    <row r="10" spans="1:5" x14ac:dyDescent="0.45">
      <c r="A10" s="1">
        <v>3</v>
      </c>
      <c r="B10" s="7">
        <v>46054</v>
      </c>
      <c r="C10" t="s">
        <v>38</v>
      </c>
      <c r="D10">
        <v>2</v>
      </c>
      <c r="E10" t="s">
        <v>54</v>
      </c>
    </row>
    <row r="11" spans="1:5" x14ac:dyDescent="0.45">
      <c r="A11" s="1">
        <v>3</v>
      </c>
      <c r="B11" s="7">
        <v>46054</v>
      </c>
      <c r="C11" t="s">
        <v>39</v>
      </c>
      <c r="D11" s="36">
        <v>1</v>
      </c>
      <c r="E11" t="s">
        <v>53</v>
      </c>
    </row>
    <row r="12" spans="1:5" x14ac:dyDescent="0.45">
      <c r="B12" s="7">
        <v>46082</v>
      </c>
    </row>
    <row r="13" spans="1:5" x14ac:dyDescent="0.45">
      <c r="B13" s="10">
        <v>46113</v>
      </c>
    </row>
    <row r="14" spans="1:5" x14ac:dyDescent="0.45">
      <c r="A14" s="1">
        <v>4</v>
      </c>
      <c r="B14" s="10">
        <v>46143</v>
      </c>
      <c r="C14" t="s">
        <v>38</v>
      </c>
      <c r="D14">
        <v>3</v>
      </c>
      <c r="E14" t="s">
        <v>53</v>
      </c>
    </row>
    <row r="15" spans="1:5" x14ac:dyDescent="0.45">
      <c r="A15" s="1">
        <v>4</v>
      </c>
      <c r="B15" s="10">
        <v>46143</v>
      </c>
      <c r="C15" t="s">
        <v>39</v>
      </c>
      <c r="D15">
        <v>2.5</v>
      </c>
      <c r="E15" t="s">
        <v>53</v>
      </c>
    </row>
    <row r="16" spans="1:5" x14ac:dyDescent="0.45">
      <c r="A16" s="1">
        <v>4</v>
      </c>
      <c r="B16" s="10">
        <v>46143</v>
      </c>
      <c r="C16" t="s">
        <v>41</v>
      </c>
      <c r="D16">
        <v>2.5</v>
      </c>
      <c r="E16" t="s">
        <v>53</v>
      </c>
    </row>
    <row r="17" spans="1:5" x14ac:dyDescent="0.45">
      <c r="A17" s="1">
        <v>4</v>
      </c>
      <c r="B17" s="10">
        <v>46143</v>
      </c>
      <c r="C17" t="s">
        <v>37</v>
      </c>
      <c r="E17" t="s">
        <v>53</v>
      </c>
    </row>
    <row r="18" spans="1:5" x14ac:dyDescent="0.45">
      <c r="B18" s="10">
        <v>46174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2309D-0DCA-4AFF-99AF-FE18AE8086CF}">
  <dimension ref="A1:E22"/>
  <sheetViews>
    <sheetView workbookViewId="0"/>
  </sheetViews>
  <sheetFormatPr defaultRowHeight="14.25" x14ac:dyDescent="0.45"/>
  <cols>
    <col min="1" max="1" width="8.46484375" style="1" bestFit="1" customWidth="1"/>
    <col min="3" max="3" width="10.19921875" customWidth="1"/>
    <col min="4" max="4" width="10.86328125" bestFit="1" customWidth="1"/>
    <col min="5" max="5" width="6.33203125" customWidth="1"/>
  </cols>
  <sheetData>
    <row r="1" spans="1:5" s="5" customFormat="1" x14ac:dyDescent="0.45">
      <c r="A1" s="6" t="s">
        <v>35</v>
      </c>
      <c r="B1" s="5" t="s">
        <v>0</v>
      </c>
      <c r="C1" s="5" t="s">
        <v>36</v>
      </c>
      <c r="D1" s="5" t="s">
        <v>4</v>
      </c>
      <c r="E1" s="5" t="s">
        <v>49</v>
      </c>
    </row>
    <row r="2" spans="1:5" x14ac:dyDescent="0.45">
      <c r="A2" s="1">
        <v>1</v>
      </c>
      <c r="B2" s="7">
        <v>45870</v>
      </c>
      <c r="C2" s="7" t="s">
        <v>42</v>
      </c>
      <c r="D2" t="s">
        <v>37</v>
      </c>
      <c r="E2">
        <v>4</v>
      </c>
    </row>
    <row r="3" spans="1:5" x14ac:dyDescent="0.45">
      <c r="A3" s="1">
        <v>2</v>
      </c>
      <c r="B3" s="7">
        <v>45870</v>
      </c>
      <c r="C3" s="7" t="s">
        <v>43</v>
      </c>
      <c r="D3" t="s">
        <v>38</v>
      </c>
      <c r="E3">
        <v>4</v>
      </c>
    </row>
    <row r="4" spans="1:5" x14ac:dyDescent="0.45">
      <c r="A4" s="1">
        <v>3</v>
      </c>
      <c r="B4" s="7">
        <v>45870</v>
      </c>
      <c r="C4" s="7" t="s">
        <v>44</v>
      </c>
      <c r="D4" t="s">
        <v>39</v>
      </c>
      <c r="E4">
        <v>3</v>
      </c>
    </row>
    <row r="5" spans="1:5" x14ac:dyDescent="0.45">
      <c r="A5" s="1">
        <v>4</v>
      </c>
      <c r="B5" s="7">
        <v>45901</v>
      </c>
      <c r="C5" s="7" t="s">
        <v>42</v>
      </c>
      <c r="D5" t="s">
        <v>40</v>
      </c>
      <c r="E5">
        <v>2</v>
      </c>
    </row>
    <row r="6" spans="1:5" x14ac:dyDescent="0.45">
      <c r="A6" s="1">
        <v>4</v>
      </c>
      <c r="B6" s="7">
        <v>45901</v>
      </c>
      <c r="C6" s="7" t="s">
        <v>43</v>
      </c>
      <c r="D6" t="s">
        <v>40</v>
      </c>
      <c r="E6">
        <v>5</v>
      </c>
    </row>
    <row r="7" spans="1:5" x14ac:dyDescent="0.45">
      <c r="A7" s="1">
        <v>4</v>
      </c>
      <c r="B7" s="7">
        <v>45901</v>
      </c>
      <c r="C7" s="7" t="s">
        <v>44</v>
      </c>
      <c r="D7" t="s">
        <v>40</v>
      </c>
      <c r="E7">
        <v>5</v>
      </c>
    </row>
    <row r="8" spans="1:5" x14ac:dyDescent="0.45">
      <c r="A8" s="1">
        <v>4</v>
      </c>
      <c r="B8" s="7">
        <v>45901</v>
      </c>
      <c r="C8" s="7" t="s">
        <v>45</v>
      </c>
      <c r="D8" t="s">
        <v>40</v>
      </c>
      <c r="E8">
        <v>4</v>
      </c>
    </row>
    <row r="9" spans="1:5" x14ac:dyDescent="0.45">
      <c r="A9" s="1">
        <v>5</v>
      </c>
      <c r="B9" s="7">
        <v>45931</v>
      </c>
      <c r="C9" s="7" t="s">
        <v>42</v>
      </c>
      <c r="D9" t="s">
        <v>37</v>
      </c>
      <c r="E9">
        <v>5</v>
      </c>
    </row>
    <row r="10" spans="1:5" x14ac:dyDescent="0.45">
      <c r="A10" s="1">
        <v>5</v>
      </c>
      <c r="B10" s="7">
        <v>45931</v>
      </c>
      <c r="C10" s="7" t="s">
        <v>46</v>
      </c>
      <c r="D10" t="s">
        <v>37</v>
      </c>
      <c r="E10">
        <v>5</v>
      </c>
    </row>
    <row r="11" spans="1:5" x14ac:dyDescent="0.45">
      <c r="A11" s="1">
        <v>6</v>
      </c>
      <c r="B11" s="7">
        <v>45931</v>
      </c>
      <c r="C11" s="7" t="s">
        <v>43</v>
      </c>
      <c r="D11" t="s">
        <v>39</v>
      </c>
      <c r="E11">
        <v>7</v>
      </c>
    </row>
    <row r="12" spans="1:5" x14ac:dyDescent="0.45">
      <c r="A12" s="1">
        <v>7</v>
      </c>
      <c r="B12" s="7">
        <v>45931</v>
      </c>
      <c r="C12" t="s">
        <v>45</v>
      </c>
      <c r="D12" t="s">
        <v>41</v>
      </c>
      <c r="E12">
        <v>2</v>
      </c>
    </row>
    <row r="13" spans="1:5" x14ac:dyDescent="0.45">
      <c r="A13" s="1">
        <v>8</v>
      </c>
      <c r="B13" s="7">
        <v>46054</v>
      </c>
      <c r="C13" t="s">
        <v>42</v>
      </c>
      <c r="D13" t="s">
        <v>38</v>
      </c>
      <c r="E13">
        <v>4</v>
      </c>
    </row>
    <row r="14" spans="1:5" x14ac:dyDescent="0.45">
      <c r="A14" s="1">
        <v>8</v>
      </c>
      <c r="B14" s="7">
        <v>46054</v>
      </c>
      <c r="C14" t="s">
        <v>47</v>
      </c>
      <c r="D14" t="s">
        <v>38</v>
      </c>
      <c r="E14">
        <v>4</v>
      </c>
    </row>
    <row r="15" spans="1:5" x14ac:dyDescent="0.45">
      <c r="A15" s="1">
        <v>9</v>
      </c>
      <c r="B15" s="7">
        <v>46054</v>
      </c>
      <c r="C15" t="s">
        <v>44</v>
      </c>
      <c r="D15" t="s">
        <v>39</v>
      </c>
      <c r="E15">
        <v>3</v>
      </c>
    </row>
    <row r="16" spans="1:5" x14ac:dyDescent="0.45">
      <c r="A16" s="1">
        <v>9</v>
      </c>
      <c r="B16" s="7">
        <v>46054</v>
      </c>
      <c r="C16" t="s">
        <v>48</v>
      </c>
      <c r="D16" t="s">
        <v>39</v>
      </c>
      <c r="E16">
        <v>3</v>
      </c>
    </row>
    <row r="17" spans="1:5" x14ac:dyDescent="0.45">
      <c r="A17" s="1">
        <v>10</v>
      </c>
      <c r="B17" s="7">
        <v>46143</v>
      </c>
      <c r="C17" t="s">
        <v>42</v>
      </c>
      <c r="D17" t="s">
        <v>37</v>
      </c>
      <c r="E17">
        <v>3</v>
      </c>
    </row>
    <row r="18" spans="1:5" x14ac:dyDescent="0.45">
      <c r="A18" s="1">
        <v>11</v>
      </c>
      <c r="B18" s="7">
        <v>46143</v>
      </c>
      <c r="C18" t="s">
        <v>42</v>
      </c>
      <c r="D18" t="s">
        <v>39</v>
      </c>
      <c r="E18">
        <v>4</v>
      </c>
    </row>
    <row r="19" spans="1:5" x14ac:dyDescent="0.45">
      <c r="A19" s="1">
        <v>11</v>
      </c>
      <c r="B19" s="7">
        <v>46143</v>
      </c>
      <c r="C19" t="s">
        <v>44</v>
      </c>
      <c r="D19" t="s">
        <v>39</v>
      </c>
      <c r="E19">
        <v>3</v>
      </c>
    </row>
    <row r="20" spans="1:5" x14ac:dyDescent="0.45">
      <c r="A20" s="1">
        <v>12</v>
      </c>
      <c r="B20" s="7">
        <v>46143</v>
      </c>
      <c r="C20" t="s">
        <v>43</v>
      </c>
      <c r="D20" t="s">
        <v>38</v>
      </c>
      <c r="E20">
        <v>4</v>
      </c>
    </row>
    <row r="21" spans="1:5" x14ac:dyDescent="0.45">
      <c r="A21" s="1">
        <v>12</v>
      </c>
      <c r="B21" s="7">
        <v>46143</v>
      </c>
      <c r="C21" t="s">
        <v>48</v>
      </c>
      <c r="D21" t="s">
        <v>38</v>
      </c>
      <c r="E21">
        <v>4</v>
      </c>
    </row>
    <row r="22" spans="1:5" x14ac:dyDescent="0.45">
      <c r="A22" s="1">
        <v>13</v>
      </c>
      <c r="B22" s="7">
        <v>46143</v>
      </c>
      <c r="C22" t="s">
        <v>42</v>
      </c>
      <c r="D22" t="s">
        <v>41</v>
      </c>
      <c r="E2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B1F48-752F-49BE-BA42-AA8856804B57}">
  <dimension ref="A1:F14"/>
  <sheetViews>
    <sheetView workbookViewId="0"/>
  </sheetViews>
  <sheetFormatPr defaultRowHeight="14.25" x14ac:dyDescent="0.45"/>
  <cols>
    <col min="5" max="5" width="8.46484375" customWidth="1"/>
  </cols>
  <sheetData>
    <row r="1" spans="1:6" s="5" customFormat="1" x14ac:dyDescent="0.45">
      <c r="A1" s="5" t="s">
        <v>0</v>
      </c>
      <c r="B1" s="5" t="s">
        <v>13</v>
      </c>
      <c r="C1" s="5" t="s">
        <v>14</v>
      </c>
      <c r="D1" s="5" t="s">
        <v>15</v>
      </c>
      <c r="E1" s="5" t="s">
        <v>29</v>
      </c>
      <c r="F1" s="5" t="s">
        <v>34</v>
      </c>
    </row>
    <row r="2" spans="1:6" x14ac:dyDescent="0.45">
      <c r="A2" s="7">
        <v>45870</v>
      </c>
      <c r="B2">
        <v>74</v>
      </c>
    </row>
    <row r="3" spans="1:6" x14ac:dyDescent="0.45">
      <c r="A3" s="7">
        <v>45901</v>
      </c>
    </row>
    <row r="4" spans="1:6" x14ac:dyDescent="0.45">
      <c r="A4" s="7">
        <v>45931</v>
      </c>
    </row>
    <row r="5" spans="1:6" x14ac:dyDescent="0.45">
      <c r="A5" s="7">
        <v>45962</v>
      </c>
    </row>
    <row r="6" spans="1:6" x14ac:dyDescent="0.45">
      <c r="A6" s="7">
        <v>45992</v>
      </c>
    </row>
    <row r="7" spans="1:6" x14ac:dyDescent="0.45">
      <c r="A7" s="7">
        <v>46023</v>
      </c>
      <c r="E7">
        <v>3</v>
      </c>
      <c r="F7">
        <v>3</v>
      </c>
    </row>
    <row r="8" spans="1:6" x14ac:dyDescent="0.45">
      <c r="A8" s="7">
        <v>46054</v>
      </c>
      <c r="C8">
        <v>75</v>
      </c>
    </row>
    <row r="9" spans="1:6" x14ac:dyDescent="0.45">
      <c r="A9" s="7">
        <v>46082</v>
      </c>
    </row>
    <row r="10" spans="1:6" x14ac:dyDescent="0.45">
      <c r="A10" s="7">
        <v>46113</v>
      </c>
      <c r="D10">
        <v>8</v>
      </c>
    </row>
    <row r="11" spans="1:6" x14ac:dyDescent="0.45">
      <c r="A11" s="7">
        <v>46143</v>
      </c>
      <c r="D11">
        <v>2</v>
      </c>
    </row>
    <row r="12" spans="1:6" x14ac:dyDescent="0.45">
      <c r="A12" s="7">
        <v>46174</v>
      </c>
    </row>
    <row r="13" spans="1:6" x14ac:dyDescent="0.45">
      <c r="A13" s="7"/>
    </row>
    <row r="14" spans="1:6" x14ac:dyDescent="0.45">
      <c r="A1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A999F-8C75-4E97-A87F-40321E159D51}">
  <dimension ref="A1:S14"/>
  <sheetViews>
    <sheetView workbookViewId="0">
      <selection activeCell="F2" sqref="F2"/>
    </sheetView>
  </sheetViews>
  <sheetFormatPr defaultRowHeight="14.25" x14ac:dyDescent="0.45"/>
  <cols>
    <col min="1" max="1" width="7" style="1" customWidth="1"/>
    <col min="2" max="2" width="16.86328125" customWidth="1"/>
    <col min="3" max="6" width="10.1328125" customWidth="1"/>
    <col min="7" max="8" width="11.796875" bestFit="1" customWidth="1"/>
    <col min="9" max="9" width="11.46484375" bestFit="1" customWidth="1"/>
    <col min="10" max="10" width="11.796875" bestFit="1" customWidth="1"/>
    <col min="11" max="11" width="11.86328125" bestFit="1" customWidth="1"/>
    <col min="12" max="12" width="11" bestFit="1" customWidth="1"/>
    <col min="13" max="14" width="11.796875" bestFit="1" customWidth="1"/>
    <col min="15" max="15" width="11.46484375" bestFit="1" customWidth="1"/>
    <col min="16" max="16" width="11.86328125" bestFit="1" customWidth="1"/>
    <col min="17" max="17" width="12.53125" bestFit="1" customWidth="1"/>
    <col min="18" max="18" width="11.86328125" bestFit="1" customWidth="1"/>
    <col min="19" max="19" width="11.86328125" customWidth="1"/>
  </cols>
  <sheetData>
    <row r="1" spans="1:19" s="5" customFormat="1" x14ac:dyDescent="0.45">
      <c r="A1" s="6" t="s">
        <v>74</v>
      </c>
      <c r="B1" s="5" t="s">
        <v>16</v>
      </c>
      <c r="C1" s="5" t="s">
        <v>17</v>
      </c>
      <c r="D1" s="5" t="s">
        <v>18</v>
      </c>
      <c r="E1" s="5" t="s">
        <v>31</v>
      </c>
      <c r="F1" s="5" t="s">
        <v>19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  <c r="P1" s="5" t="s">
        <v>70</v>
      </c>
      <c r="Q1" s="5" t="s">
        <v>71</v>
      </c>
      <c r="R1" s="5" t="s">
        <v>72</v>
      </c>
      <c r="S1" s="5" t="s">
        <v>73</v>
      </c>
    </row>
    <row r="2" spans="1:19" x14ac:dyDescent="0.45">
      <c r="A2" s="1">
        <v>1</v>
      </c>
      <c r="B2" t="s">
        <v>20</v>
      </c>
      <c r="C2">
        <v>293760</v>
      </c>
      <c r="D2">
        <f t="shared" ref="D2:D14" si="0">SUM(G2:P2)</f>
        <v>194460</v>
      </c>
      <c r="E2">
        <f t="shared" ref="E2:E14" si="1">SUM(Q2:S2)</f>
        <v>50400</v>
      </c>
      <c r="F2">
        <f t="shared" ref="F2:F14" si="2">C2-D2-E2</f>
        <v>48900</v>
      </c>
      <c r="G2">
        <v>0</v>
      </c>
      <c r="H2">
        <v>23400</v>
      </c>
      <c r="I2">
        <v>23760</v>
      </c>
      <c r="J2">
        <v>20328</v>
      </c>
      <c r="K2">
        <v>21060</v>
      </c>
      <c r="L2">
        <v>21240</v>
      </c>
      <c r="M2">
        <v>20232</v>
      </c>
      <c r="N2">
        <v>21600</v>
      </c>
      <c r="O2">
        <v>21600</v>
      </c>
      <c r="P2">
        <v>21240</v>
      </c>
      <c r="Q2">
        <v>21600</v>
      </c>
      <c r="R2">
        <v>21600</v>
      </c>
      <c r="S2">
        <f t="shared" ref="S2:S14" si="3">R2/3</f>
        <v>7200</v>
      </c>
    </row>
    <row r="3" spans="1:19" x14ac:dyDescent="0.45">
      <c r="A3" s="1">
        <v>1</v>
      </c>
      <c r="B3" t="s">
        <v>21</v>
      </c>
      <c r="C3">
        <v>14400</v>
      </c>
      <c r="D3">
        <f t="shared" si="0"/>
        <v>11040</v>
      </c>
      <c r="E3">
        <f t="shared" si="1"/>
        <v>2800</v>
      </c>
      <c r="F3">
        <f t="shared" si="2"/>
        <v>560</v>
      </c>
      <c r="G3">
        <f>240</f>
        <v>240</v>
      </c>
      <c r="H3">
        <v>1200</v>
      </c>
      <c r="I3">
        <v>1200</v>
      </c>
      <c r="J3">
        <v>1200</v>
      </c>
      <c r="K3">
        <v>1200</v>
      </c>
      <c r="L3">
        <v>1200</v>
      </c>
      <c r="M3">
        <v>1200</v>
      </c>
      <c r="N3">
        <v>1200</v>
      </c>
      <c r="O3">
        <v>1200</v>
      </c>
      <c r="P3">
        <v>1200</v>
      </c>
      <c r="Q3">
        <v>1200</v>
      </c>
      <c r="R3">
        <v>1200</v>
      </c>
      <c r="S3">
        <f t="shared" si="3"/>
        <v>400</v>
      </c>
    </row>
    <row r="4" spans="1:19" x14ac:dyDescent="0.45">
      <c r="A4" s="1">
        <v>1</v>
      </c>
      <c r="B4" t="s">
        <v>26</v>
      </c>
      <c r="C4">
        <v>8640</v>
      </c>
      <c r="D4">
        <f t="shared" si="0"/>
        <v>6864</v>
      </c>
      <c r="E4">
        <f t="shared" si="1"/>
        <v>1680</v>
      </c>
      <c r="F4">
        <f t="shared" si="2"/>
        <v>96</v>
      </c>
      <c r="G4">
        <v>144</v>
      </c>
      <c r="H4">
        <v>720</v>
      </c>
      <c r="I4">
        <v>720</v>
      </c>
      <c r="J4">
        <v>720</v>
      </c>
      <c r="K4">
        <v>720</v>
      </c>
      <c r="L4">
        <v>720</v>
      </c>
      <c r="M4">
        <v>960</v>
      </c>
      <c r="N4">
        <v>720</v>
      </c>
      <c r="O4">
        <v>720</v>
      </c>
      <c r="P4">
        <v>720</v>
      </c>
      <c r="Q4">
        <v>720</v>
      </c>
      <c r="R4">
        <v>720</v>
      </c>
      <c r="S4">
        <f t="shared" si="3"/>
        <v>240</v>
      </c>
    </row>
    <row r="5" spans="1:19" x14ac:dyDescent="0.45">
      <c r="A5" s="1">
        <v>1</v>
      </c>
      <c r="B5" t="s">
        <v>22</v>
      </c>
      <c r="C5">
        <v>86400</v>
      </c>
      <c r="D5">
        <f t="shared" si="0"/>
        <v>64800</v>
      </c>
      <c r="E5">
        <f t="shared" si="1"/>
        <v>16800</v>
      </c>
      <c r="F5">
        <f t="shared" si="2"/>
        <v>4800</v>
      </c>
      <c r="G5">
        <v>0</v>
      </c>
      <c r="H5">
        <v>7200</v>
      </c>
      <c r="I5">
        <v>7200</v>
      </c>
      <c r="J5">
        <v>7200</v>
      </c>
      <c r="K5">
        <v>7200</v>
      </c>
      <c r="L5">
        <v>7200</v>
      </c>
      <c r="M5">
        <v>7200</v>
      </c>
      <c r="N5">
        <v>7200</v>
      </c>
      <c r="O5">
        <v>7200</v>
      </c>
      <c r="P5">
        <v>7200</v>
      </c>
      <c r="Q5">
        <v>7200</v>
      </c>
      <c r="R5">
        <v>7200</v>
      </c>
      <c r="S5">
        <f t="shared" si="3"/>
        <v>2400</v>
      </c>
    </row>
    <row r="6" spans="1:19" x14ac:dyDescent="0.45">
      <c r="A6" s="1">
        <v>1</v>
      </c>
      <c r="B6" t="s">
        <v>23</v>
      </c>
      <c r="C6">
        <v>6480</v>
      </c>
      <c r="D6">
        <f t="shared" si="0"/>
        <v>4968</v>
      </c>
      <c r="E6">
        <f t="shared" si="1"/>
        <v>1260</v>
      </c>
      <c r="F6">
        <f t="shared" si="2"/>
        <v>252</v>
      </c>
      <c r="G6">
        <v>108</v>
      </c>
      <c r="H6">
        <v>540</v>
      </c>
      <c r="I6">
        <v>540</v>
      </c>
      <c r="J6">
        <v>540</v>
      </c>
      <c r="K6">
        <v>540</v>
      </c>
      <c r="L6">
        <v>540</v>
      </c>
      <c r="M6">
        <v>540</v>
      </c>
      <c r="N6">
        <v>540</v>
      </c>
      <c r="O6">
        <v>540</v>
      </c>
      <c r="P6">
        <v>540</v>
      </c>
      <c r="Q6">
        <v>540</v>
      </c>
      <c r="R6">
        <v>540</v>
      </c>
      <c r="S6">
        <f t="shared" si="3"/>
        <v>180</v>
      </c>
    </row>
    <row r="7" spans="1:19" x14ac:dyDescent="0.45">
      <c r="A7" s="1">
        <v>1</v>
      </c>
      <c r="B7" t="s">
        <v>24</v>
      </c>
      <c r="C7">
        <v>21000</v>
      </c>
      <c r="D7">
        <f t="shared" si="0"/>
        <v>21000</v>
      </c>
      <c r="E7">
        <f t="shared" si="1"/>
        <v>0</v>
      </c>
      <c r="F7">
        <f t="shared" si="2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16800</v>
      </c>
      <c r="P7">
        <v>4200</v>
      </c>
      <c r="Q7">
        <v>0</v>
      </c>
      <c r="R7">
        <v>0</v>
      </c>
      <c r="S7">
        <f t="shared" si="3"/>
        <v>0</v>
      </c>
    </row>
    <row r="8" spans="1:19" x14ac:dyDescent="0.45">
      <c r="A8" s="1">
        <v>1</v>
      </c>
      <c r="B8" t="s">
        <v>25</v>
      </c>
      <c r="C8">
        <v>10650</v>
      </c>
      <c r="D8">
        <f t="shared" si="0"/>
        <v>23766.82</v>
      </c>
      <c r="E8">
        <f t="shared" si="1"/>
        <v>0</v>
      </c>
      <c r="F8">
        <f t="shared" si="2"/>
        <v>-13116.82</v>
      </c>
      <c r="G8">
        <v>0</v>
      </c>
      <c r="H8">
        <v>10650</v>
      </c>
      <c r="I8">
        <v>8329.61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4787.21</v>
      </c>
      <c r="Q8">
        <v>0</v>
      </c>
      <c r="R8">
        <v>0</v>
      </c>
      <c r="S8">
        <f t="shared" si="3"/>
        <v>0</v>
      </c>
    </row>
    <row r="9" spans="1:19" x14ac:dyDescent="0.45">
      <c r="A9" s="1">
        <v>2</v>
      </c>
      <c r="B9" t="s">
        <v>56</v>
      </c>
      <c r="C9">
        <v>109200</v>
      </c>
      <c r="D9">
        <f t="shared" si="0"/>
        <v>109263.33</v>
      </c>
      <c r="E9">
        <f t="shared" si="1"/>
        <v>27533.333333333332</v>
      </c>
      <c r="F9">
        <f t="shared" si="2"/>
        <v>-27596.663333333334</v>
      </c>
      <c r="G9">
        <v>5763.33</v>
      </c>
      <c r="H9">
        <v>9100</v>
      </c>
      <c r="I9">
        <v>11800</v>
      </c>
      <c r="J9">
        <v>11800</v>
      </c>
      <c r="K9">
        <v>11800</v>
      </c>
      <c r="L9">
        <v>11800</v>
      </c>
      <c r="M9">
        <v>11800</v>
      </c>
      <c r="N9">
        <v>11800</v>
      </c>
      <c r="O9">
        <v>11800</v>
      </c>
      <c r="P9">
        <v>11800</v>
      </c>
      <c r="Q9">
        <v>11800</v>
      </c>
      <c r="R9">
        <v>11800</v>
      </c>
      <c r="S9">
        <f t="shared" si="3"/>
        <v>3933.3333333333335</v>
      </c>
    </row>
    <row r="10" spans="1:19" x14ac:dyDescent="0.45">
      <c r="A10" s="1">
        <v>2</v>
      </c>
      <c r="B10" t="s">
        <v>27</v>
      </c>
      <c r="C10">
        <v>5112</v>
      </c>
      <c r="D10">
        <f t="shared" si="0"/>
        <v>3426.4</v>
      </c>
      <c r="E10">
        <f t="shared" si="1"/>
        <v>868</v>
      </c>
      <c r="F10">
        <f t="shared" si="2"/>
        <v>817.59999999999991</v>
      </c>
      <c r="G10">
        <v>3.6</v>
      </c>
      <c r="H10">
        <v>408</v>
      </c>
      <c r="I10">
        <v>414</v>
      </c>
      <c r="J10">
        <v>356.8</v>
      </c>
      <c r="K10">
        <v>372</v>
      </c>
      <c r="L10">
        <v>372</v>
      </c>
      <c r="M10">
        <v>372</v>
      </c>
      <c r="N10">
        <v>378</v>
      </c>
      <c r="O10">
        <v>378</v>
      </c>
      <c r="P10">
        <v>372</v>
      </c>
      <c r="Q10">
        <v>372</v>
      </c>
      <c r="R10">
        <v>372</v>
      </c>
      <c r="S10">
        <f t="shared" si="3"/>
        <v>124</v>
      </c>
    </row>
    <row r="11" spans="1:19" x14ac:dyDescent="0.45">
      <c r="A11" s="1">
        <v>2</v>
      </c>
      <c r="B11" t="s">
        <v>28</v>
      </c>
      <c r="C11">
        <v>2400</v>
      </c>
      <c r="D11">
        <f t="shared" si="0"/>
        <v>2400</v>
      </c>
      <c r="E11">
        <f t="shared" si="1"/>
        <v>0</v>
      </c>
      <c r="F11">
        <f t="shared" si="2"/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2400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f t="shared" si="3"/>
        <v>0</v>
      </c>
    </row>
    <row r="12" spans="1:19" x14ac:dyDescent="0.45">
      <c r="A12" s="1">
        <v>2</v>
      </c>
      <c r="B12" t="s">
        <v>29</v>
      </c>
      <c r="C12">
        <v>2700</v>
      </c>
      <c r="D12">
        <f t="shared" si="0"/>
        <v>2700</v>
      </c>
      <c r="E12">
        <f t="shared" si="1"/>
        <v>0</v>
      </c>
      <c r="F12">
        <f t="shared" si="2"/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2700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f t="shared" si="3"/>
        <v>0</v>
      </c>
    </row>
    <row r="13" spans="1:19" x14ac:dyDescent="0.45">
      <c r="A13" s="1">
        <v>2</v>
      </c>
      <c r="B13" t="s">
        <v>13</v>
      </c>
      <c r="C13">
        <v>22200</v>
      </c>
      <c r="D13">
        <f t="shared" si="0"/>
        <v>22200</v>
      </c>
      <c r="E13">
        <f t="shared" si="1"/>
        <v>0</v>
      </c>
      <c r="F13">
        <f t="shared" si="2"/>
        <v>0</v>
      </c>
      <c r="G13">
        <v>22200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f t="shared" si="3"/>
        <v>0</v>
      </c>
    </row>
    <row r="14" spans="1:19" x14ac:dyDescent="0.45">
      <c r="A14" s="1">
        <v>3</v>
      </c>
      <c r="B14" t="s">
        <v>30</v>
      </c>
      <c r="C14">
        <v>4050</v>
      </c>
      <c r="D14">
        <f t="shared" si="0"/>
        <v>4050</v>
      </c>
      <c r="E14">
        <f t="shared" si="1"/>
        <v>0</v>
      </c>
      <c r="F14">
        <f t="shared" si="2"/>
        <v>0</v>
      </c>
      <c r="G14">
        <v>575</v>
      </c>
      <c r="H14">
        <v>800</v>
      </c>
      <c r="I14">
        <v>875</v>
      </c>
      <c r="J14">
        <v>0</v>
      </c>
      <c r="K14">
        <v>0</v>
      </c>
      <c r="L14">
        <v>0</v>
      </c>
      <c r="M14">
        <v>750</v>
      </c>
      <c r="N14">
        <v>0</v>
      </c>
      <c r="O14">
        <v>0</v>
      </c>
      <c r="P14">
        <v>1050</v>
      </c>
      <c r="Q14">
        <v>0</v>
      </c>
      <c r="R14">
        <v>0</v>
      </c>
      <c r="S14">
        <f t="shared" si="3"/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EDE-F07A-4579-B773-F319C167E0A2}">
  <dimension ref="A1:G28"/>
  <sheetViews>
    <sheetView tabSelected="1" workbookViewId="0">
      <selection activeCell="B2" sqref="B2"/>
    </sheetView>
  </sheetViews>
  <sheetFormatPr defaultColWidth="9" defaultRowHeight="14.25" x14ac:dyDescent="0.45"/>
  <cols>
    <col min="2" max="5" width="11" customWidth="1"/>
    <col min="6" max="6" width="12.796875" customWidth="1"/>
    <col min="7" max="7" width="13.19921875" customWidth="1"/>
  </cols>
  <sheetData>
    <row r="1" spans="1:7" x14ac:dyDescent="0.45">
      <c r="A1" s="2" t="s">
        <v>0</v>
      </c>
      <c r="B1" s="2" t="s">
        <v>17</v>
      </c>
      <c r="C1" s="2" t="s">
        <v>18</v>
      </c>
      <c r="D1" s="2" t="s">
        <v>31</v>
      </c>
      <c r="E1" s="2" t="s">
        <v>19</v>
      </c>
      <c r="F1" s="2" t="s">
        <v>33</v>
      </c>
      <c r="G1" s="2" t="s">
        <v>32</v>
      </c>
    </row>
    <row r="2" spans="1:7" x14ac:dyDescent="0.45">
      <c r="A2" s="7">
        <v>45870</v>
      </c>
      <c r="B2" s="3">
        <f>2/3*(9526+34140+337.5)+22200</f>
        <v>51535.666666666664</v>
      </c>
      <c r="C2" s="3">
        <v>29033.93</v>
      </c>
      <c r="D2" s="4">
        <f t="shared" ref="D2:D10" si="0">C2</f>
        <v>29033.93</v>
      </c>
      <c r="E2" s="3">
        <f t="shared" ref="E2:E14" si="1">B2-D2</f>
        <v>22501.736666666664</v>
      </c>
      <c r="F2" s="3">
        <f>C2*1.15</f>
        <v>33389.019499999995</v>
      </c>
      <c r="G2" s="3">
        <f>D2*1.15</f>
        <v>33389.019499999995</v>
      </c>
    </row>
    <row r="3" spans="1:7" x14ac:dyDescent="0.45">
      <c r="A3" s="7">
        <v>45901</v>
      </c>
      <c r="B3" s="3">
        <f>10650+9526+34140+337.5</f>
        <v>54653.5</v>
      </c>
      <c r="C3" s="3">
        <v>54018</v>
      </c>
      <c r="D3" s="4">
        <f t="shared" si="0"/>
        <v>54018</v>
      </c>
      <c r="E3" s="3">
        <f t="shared" si="1"/>
        <v>635.5</v>
      </c>
      <c r="F3" s="3">
        <f t="shared" ref="F3:G14" si="2">C3*1.15</f>
        <v>62120.7</v>
      </c>
      <c r="G3" s="3">
        <f t="shared" si="2"/>
        <v>62120.7</v>
      </c>
    </row>
    <row r="4" spans="1:7" x14ac:dyDescent="0.45">
      <c r="A4" s="7">
        <v>45931</v>
      </c>
      <c r="B4" s="3">
        <f>9526+34140+337.5</f>
        <v>44003.5</v>
      </c>
      <c r="C4" s="3">
        <v>54838.61</v>
      </c>
      <c r="D4" s="4">
        <f t="shared" si="0"/>
        <v>54838.61</v>
      </c>
      <c r="E4" s="3">
        <f t="shared" si="1"/>
        <v>-10835.11</v>
      </c>
      <c r="F4" s="3">
        <f t="shared" si="2"/>
        <v>63064.401499999993</v>
      </c>
      <c r="G4" s="3">
        <f t="shared" si="2"/>
        <v>63064.401499999993</v>
      </c>
    </row>
    <row r="5" spans="1:7" x14ac:dyDescent="0.45">
      <c r="A5" s="7">
        <v>45962</v>
      </c>
      <c r="B5" s="3">
        <f>9526+34140+337.5</f>
        <v>44003.5</v>
      </c>
      <c r="C5" s="3">
        <v>42144.800000000003</v>
      </c>
      <c r="D5" s="4">
        <f t="shared" si="0"/>
        <v>42144.800000000003</v>
      </c>
      <c r="E5" s="3">
        <f t="shared" si="1"/>
        <v>1858.6999999999971</v>
      </c>
      <c r="F5" s="3">
        <f t="shared" si="2"/>
        <v>48466.52</v>
      </c>
      <c r="G5" s="3">
        <f t="shared" si="2"/>
        <v>48466.52</v>
      </c>
    </row>
    <row r="6" spans="1:7" x14ac:dyDescent="0.45">
      <c r="A6" s="7">
        <v>45992</v>
      </c>
      <c r="B6" s="3">
        <f>9526+34140+337.5</f>
        <v>44003.5</v>
      </c>
      <c r="C6" s="3">
        <v>42892</v>
      </c>
      <c r="D6" s="4">
        <f t="shared" si="0"/>
        <v>42892</v>
      </c>
      <c r="E6" s="3">
        <f t="shared" si="1"/>
        <v>1111.5</v>
      </c>
      <c r="F6" s="3">
        <f t="shared" si="2"/>
        <v>49325.799999999996</v>
      </c>
      <c r="G6" s="3">
        <f t="shared" si="2"/>
        <v>49325.799999999996</v>
      </c>
    </row>
    <row r="7" spans="1:7" x14ac:dyDescent="0.45">
      <c r="A7" s="7">
        <v>46023</v>
      </c>
      <c r="B7" s="3">
        <f>2700+2400+9526+34140+337.5</f>
        <v>49103.5</v>
      </c>
      <c r="C7" s="3">
        <v>48172</v>
      </c>
      <c r="D7" s="4">
        <f t="shared" si="0"/>
        <v>48172</v>
      </c>
      <c r="E7" s="3">
        <f t="shared" si="1"/>
        <v>931.5</v>
      </c>
      <c r="F7" s="3">
        <f t="shared" si="2"/>
        <v>55397.799999999996</v>
      </c>
      <c r="G7" s="3">
        <f t="shared" si="2"/>
        <v>55397.799999999996</v>
      </c>
    </row>
    <row r="8" spans="1:7" x14ac:dyDescent="0.45">
      <c r="A8" s="7">
        <v>46054</v>
      </c>
      <c r="B8" s="3">
        <f>9526+34140+337.5</f>
        <v>44003.5</v>
      </c>
      <c r="C8" s="3">
        <v>43054</v>
      </c>
      <c r="D8" s="4">
        <f t="shared" si="0"/>
        <v>43054</v>
      </c>
      <c r="E8" s="3">
        <f t="shared" si="1"/>
        <v>949.5</v>
      </c>
      <c r="F8" s="3">
        <f t="shared" si="2"/>
        <v>49512.1</v>
      </c>
      <c r="G8" s="3">
        <f t="shared" si="2"/>
        <v>49512.1</v>
      </c>
    </row>
    <row r="9" spans="1:7" x14ac:dyDescent="0.45">
      <c r="A9" s="7">
        <v>46082</v>
      </c>
      <c r="B9" s="3">
        <f>9526+34140+337.5</f>
        <v>44003.5</v>
      </c>
      <c r="C9" s="4">
        <v>43438</v>
      </c>
      <c r="D9" s="4">
        <f t="shared" si="0"/>
        <v>43438</v>
      </c>
      <c r="E9" s="3">
        <f t="shared" si="1"/>
        <v>565.5</v>
      </c>
      <c r="F9" s="3">
        <f t="shared" si="2"/>
        <v>49953.7</v>
      </c>
      <c r="G9" s="3">
        <f t="shared" si="2"/>
        <v>49953.7</v>
      </c>
    </row>
    <row r="10" spans="1:7" x14ac:dyDescent="0.45">
      <c r="A10" s="7">
        <v>46113</v>
      </c>
      <c r="B10" s="3">
        <f>8*2100+9526+34140+337.5</f>
        <v>60803.5</v>
      </c>
      <c r="C10" s="3">
        <v>60238</v>
      </c>
      <c r="D10" s="4">
        <f t="shared" si="0"/>
        <v>60238</v>
      </c>
      <c r="E10" s="3">
        <f t="shared" si="1"/>
        <v>565.5</v>
      </c>
      <c r="F10" s="3">
        <f t="shared" si="2"/>
        <v>69273.7</v>
      </c>
      <c r="G10" s="3">
        <f t="shared" si="2"/>
        <v>69273.7</v>
      </c>
    </row>
    <row r="11" spans="1:7" x14ac:dyDescent="0.45">
      <c r="A11" s="7">
        <v>46143</v>
      </c>
      <c r="B11" s="3">
        <f>2*2100+9526+34140+337.5</f>
        <v>48203.5</v>
      </c>
      <c r="C11" s="4">
        <v>53109.21</v>
      </c>
      <c r="D11" s="4">
        <f>C11</f>
        <v>53109.21</v>
      </c>
      <c r="E11" s="3">
        <f t="shared" si="1"/>
        <v>-4905.7099999999991</v>
      </c>
      <c r="F11" s="3">
        <f t="shared" si="2"/>
        <v>61075.591499999995</v>
      </c>
      <c r="G11" s="3">
        <f t="shared" si="2"/>
        <v>61075.591499999995</v>
      </c>
    </row>
    <row r="12" spans="1:7" x14ac:dyDescent="0.45">
      <c r="A12" s="7">
        <v>46174</v>
      </c>
      <c r="B12" s="3">
        <f>9526+34140+337.5</f>
        <v>44003.5</v>
      </c>
      <c r="C12" s="4"/>
      <c r="D12" s="4">
        <v>43432</v>
      </c>
      <c r="E12" s="3">
        <f t="shared" si="1"/>
        <v>571.5</v>
      </c>
      <c r="F12" s="3"/>
      <c r="G12" s="3">
        <f t="shared" si="2"/>
        <v>49946.799999999996</v>
      </c>
    </row>
    <row r="13" spans="1:7" x14ac:dyDescent="0.45">
      <c r="A13" s="7">
        <v>46204</v>
      </c>
      <c r="B13" s="3">
        <f>9526+34140+337.5</f>
        <v>44003.5</v>
      </c>
      <c r="C13" s="4"/>
      <c r="D13" s="4">
        <v>43432</v>
      </c>
      <c r="E13" s="3">
        <f t="shared" si="1"/>
        <v>571.5</v>
      </c>
      <c r="F13" s="3"/>
      <c r="G13" s="3">
        <f t="shared" si="2"/>
        <v>49946.799999999996</v>
      </c>
    </row>
    <row r="14" spans="1:7" x14ac:dyDescent="0.45">
      <c r="A14" s="7">
        <v>46235</v>
      </c>
      <c r="B14" s="3">
        <f>1/3*(9526+34140+337.5)</f>
        <v>14667.833333333332</v>
      </c>
      <c r="C14" s="3"/>
      <c r="D14" s="3">
        <f>43432/3</f>
        <v>14477.333333333334</v>
      </c>
      <c r="E14" s="3">
        <f t="shared" si="1"/>
        <v>190.49999999999818</v>
      </c>
      <c r="F14" s="3"/>
      <c r="G14" s="3">
        <f t="shared" si="2"/>
        <v>16648.933333333334</v>
      </c>
    </row>
    <row r="15" spans="1:7" x14ac:dyDescent="0.45">
      <c r="A15" s="8"/>
    </row>
    <row r="16" spans="1:7" x14ac:dyDescent="0.45">
      <c r="A16" s="8"/>
    </row>
    <row r="17" spans="1:1" x14ac:dyDescent="0.45">
      <c r="A17" s="8"/>
    </row>
    <row r="18" spans="1:1" x14ac:dyDescent="0.45">
      <c r="A18" s="8"/>
    </row>
    <row r="19" spans="1:1" x14ac:dyDescent="0.45">
      <c r="A19" s="8"/>
    </row>
    <row r="20" spans="1:1" x14ac:dyDescent="0.45">
      <c r="A20" s="8"/>
    </row>
    <row r="21" spans="1:1" x14ac:dyDescent="0.45">
      <c r="A21" s="8"/>
    </row>
    <row r="22" spans="1:1" x14ac:dyDescent="0.45">
      <c r="A22" s="8"/>
    </row>
    <row r="23" spans="1:1" x14ac:dyDescent="0.45">
      <c r="A23" s="8"/>
    </row>
    <row r="24" spans="1:1" x14ac:dyDescent="0.45">
      <c r="A24" s="8"/>
    </row>
    <row r="25" spans="1:1" x14ac:dyDescent="0.45">
      <c r="A25" s="8"/>
    </row>
    <row r="26" spans="1:1" x14ac:dyDescent="0.45">
      <c r="A26" s="8"/>
    </row>
    <row r="27" spans="1:1" x14ac:dyDescent="0.45">
      <c r="A27" s="8"/>
    </row>
    <row r="28" spans="1:1" x14ac:dyDescent="0.45">
      <c r="A28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C0EFE16C5685847AF53F415157196AB" ma:contentTypeVersion="10" ma:contentTypeDescription="Ein neues Dokument erstellen." ma:contentTypeScope="" ma:versionID="25e3ba501f4236ce3f30ac36e0670a7a">
  <xsd:schema xmlns:xsd="http://www.w3.org/2001/XMLSchema" xmlns:xs="http://www.w3.org/2001/XMLSchema" xmlns:p="http://schemas.microsoft.com/office/2006/metadata/properties" xmlns:ns2="f1b5c029-f99d-4007-83c8-e86a87dae2c0" xmlns:ns3="b1f2453e-b84f-40dd-ae62-17f8f59f3b8f" targetNamespace="http://schemas.microsoft.com/office/2006/metadata/properties" ma:root="true" ma:fieldsID="ba4304f73c53f4215cc939dedaa1b40a" ns2:_="" ns3:_="">
    <xsd:import namespace="f1b5c029-f99d-4007-83c8-e86a87dae2c0"/>
    <xsd:import namespace="b1f2453e-b84f-40dd-ae62-17f8f59f3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b5c029-f99d-4007-83c8-e86a87dae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84c17363-a610-42c9-8908-09c0a1c700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2453e-b84f-40dd-ae62-17f8f59f3b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aae5d4-8d43-46f0-bdf9-06d846eb2648}" ma:internalName="TaxCatchAll" ma:showField="CatchAllData" ma:web="b1f2453e-b84f-40dd-ae62-17f8f59f3b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b5c029-f99d-4007-83c8-e86a87dae2c0">
      <Terms xmlns="http://schemas.microsoft.com/office/infopath/2007/PartnerControls"/>
    </lcf76f155ced4ddcb4097134ff3c332f>
    <TaxCatchAll xmlns="b1f2453e-b84f-40dd-ae62-17f8f59f3b8f" xsi:nil="true"/>
  </documentManagement>
</p:properties>
</file>

<file path=customXml/itemProps1.xml><?xml version="1.0" encoding="utf-8"?>
<ds:datastoreItem xmlns:ds="http://schemas.openxmlformats.org/officeDocument/2006/customXml" ds:itemID="{9B540B65-F983-4511-BF8B-36F63E533E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9DB090-3220-4E47-A6EC-E65A913BD319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1b5c029-f99d-4007-83c8-e86a87dae2c0"/>
    <ds:schemaRef ds:uri="b1f2453e-b84f-40dd-ae62-17f8f59f3b8f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2E9485-3457-417A-8943-5A677C1E8E9E}">
  <ds:schemaRefs>
    <ds:schemaRef ds:uri="http://schemas.microsoft.com/office/2006/metadata/properties"/>
    <ds:schemaRef ds:uri="http://www.w3.org/2000/xmlns/"/>
    <ds:schemaRef ds:uri="f1b5c029-f99d-4007-83c8-e86a87dae2c0"/>
    <ds:schemaRef ds:uri="http://schemas.microsoft.com/office/infopath/2007/PartnerControls"/>
    <ds:schemaRef ds:uri="b1f2453e-b84f-40dd-ae62-17f8f59f3b8f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monitoring_plans</vt:lpstr>
      <vt:lpstr>weekly_reports</vt:lpstr>
      <vt:lpstr>monthly_reports</vt:lpstr>
      <vt:lpstr>quarter_reports</vt:lpstr>
      <vt:lpstr>coverage</vt:lpstr>
      <vt:lpstr>PDM</vt:lpstr>
      <vt:lpstr>deployment</vt:lpstr>
      <vt:lpstr>training</vt:lpstr>
      <vt:lpstr>travel</vt:lpstr>
      <vt:lpstr>equipment</vt:lpstr>
      <vt:lpstr>budget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Poppe</dc:creator>
  <cp:lastModifiedBy>Robert Poppe</cp:lastModifiedBy>
  <dcterms:created xsi:type="dcterms:W3CDTF">2026-07-08T09:53:33Z</dcterms:created>
  <dcterms:modified xsi:type="dcterms:W3CDTF">2026-07-13T11:54:34Z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0x010100CC0EFE16C5685847AF53F415157196AB</vt:lpwstr>
  </property>
  <property fmtid="{D5CDD505-2E9C-101B-9397-08002B2CF9AE}" pid="3" name="MediaServiceImageTags">
    <vt:lpwstr/>
  </property>
</Properties>
</file>